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aklys" sheetId="2" state="visible" r:id="rId2"/>
    <sheet xmlns:r="http://schemas.openxmlformats.org/officeDocument/2006/relationships" name="Tydlyn" sheetId="3" state="visible" r:id="rId3"/>
    <sheet xmlns:r="http://schemas.openxmlformats.org/officeDocument/2006/relationships" name="Instellings" sheetId="4" state="visible" r:id="rId4"/>
  </sheets>
  <definedNames>
    <definedName name="_xlnm._FilterDatabase" localSheetId="1" hidden="1">'Taaklys'!$A$2:$N$30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&quot;R&quot;#,##0"/>
    <numFmt numFmtId="167" formatCode="dd mmm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FFFFFF"/>
      <sz val="22"/>
    </font>
    <font>
      <i val="1"/>
      <color rgb="00000000"/>
    </font>
  </fonts>
  <fills count="5">
    <fill>
      <patternFill/>
    </fill>
    <fill>
      <patternFill patternType="gray125"/>
    </fill>
    <fill>
      <patternFill patternType="solid">
        <fgColor rgb="00063F24"/>
      </patternFill>
    </fill>
    <fill>
      <patternFill patternType="solid">
        <fgColor rgb="000A5A3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167" fontId="2" fillId="3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5" fontId="0" fillId="4" borderId="0" pivotButton="0" quotePrefix="0" xfId="0"/>
    <xf numFmtId="166" fontId="0" fillId="4" borderId="0" pivotButton="0" quotePrefix="0" xfId="0"/>
    <xf numFmtId="0" fontId="0" fillId="4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4">
    <dxf>
      <fill>
        <patternFill patternType="solid">
          <fgColor rgb="00DDEFE5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2CF4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Take per fase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'Dashboard'!$D$5:$D$14</f>
            </numRef>
          </cat>
          <val>
            <numRef>
              <f>'Dashboard'!$E$5:$E$14</f>
            </numRef>
          </val>
        </ser>
        <ser>
          <idx val="1"/>
          <order val="1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'Dashboard'!$D$5:$D$14</f>
            </numRef>
          </cat>
          <val>
            <numRef>
              <f>'Dashboard'!$F$5:$F$14</f>
            </numRef>
          </val>
        </ser>
        <ser>
          <idx val="2"/>
          <order val="2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'Dashboard'!$D$5:$D$14</f>
            </numRef>
          </cat>
          <val>
            <numRef>
              <f>'Dashboard'!$G$5:$G$14</f>
            </numRef>
          </val>
        </ser>
        <ser>
          <idx val="3"/>
          <order val="3"/>
          <tx>
            <strRef>
              <f>'Dashboard'!H4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'Dashboard'!$D$5:$D$14</f>
            </numRef>
          </cat>
          <val>
            <numRef>
              <f>'Dashboard'!$H$5:$H$14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Take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ake" displayName="tblTake" ref="A2:N30" headerRowCount="1">
  <autoFilter ref="A2:N30"/>
  <tableColumns count="14">
    <tableColumn id="1" name="ID"/>
    <tableColumn id="2" name="Fase"/>
    <tableColumn id="3" name="Taak"/>
    <tableColumn id="4" name="Eienaar"/>
    <tableColumn id="5" name="Begin"/>
    <tableColumn id="6" name="Einde"/>
    <tableColumn id="7" name="Duur"/>
    <tableColumn id="8" name="Status"/>
    <tableColumn id="9" name="Vordering"/>
    <tableColumn id="10" name="Prioriteit"/>
    <tableColumn id="11" name="Dae Oor"/>
    <tableColumn id="12" name="Laat"/>
    <tableColumn id="13" name="Afhanklikheid"/>
    <tableColumn id="14" name="Nota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5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2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Soft Launch Dashboard</t>
        </is>
      </c>
    </row>
    <row r="2">
      <c r="A2" s="2" t="inlineStr">
        <is>
          <t>Azure VM B1ms + PostgreSQL soft launch vir Graad 8 en 9</t>
        </is>
      </c>
    </row>
    <row r="4">
      <c r="A4" s="3" t="inlineStr">
        <is>
          <t>Maatstaf</t>
        </is>
      </c>
      <c r="B4" s="3" t="inlineStr">
        <is>
          <t>Waarde</t>
        </is>
      </c>
      <c r="C4" s="3" t="inlineStr"/>
      <c r="D4" s="3" t="inlineStr">
        <is>
          <t>Fase</t>
        </is>
      </c>
      <c r="E4" s="3" t="inlineStr">
        <is>
          <t>Take</t>
        </is>
      </c>
      <c r="F4" s="3" t="inlineStr">
        <is>
          <t>Voltooi</t>
        </is>
      </c>
      <c r="G4" s="3" t="inlineStr">
        <is>
          <t>Risiko</t>
        </is>
      </c>
      <c r="H4" s="3" t="inlineStr">
        <is>
          <t>Laat</t>
        </is>
      </c>
    </row>
    <row r="5">
      <c r="A5" s="4" t="inlineStr">
        <is>
          <t>Soft launch datum</t>
        </is>
      </c>
      <c r="B5" s="5">
        <f>'Instellings'!B2</f>
        <v/>
      </c>
      <c r="C5" s="4" t="n"/>
      <c r="D5" s="4" t="inlineStr">
        <is>
          <t>Besluitneming</t>
        </is>
      </c>
      <c r="E5" s="4">
        <f>COUNTIF(Taaklys!B:B,D5)</f>
        <v/>
      </c>
      <c r="F5" s="4">
        <f>COUNTIFS(Taaklys!B:B,D5,Taaklys!H:H,"Voltooi")</f>
        <v/>
      </c>
      <c r="G5" s="4">
        <f>COUNTIFS(Taaklys!B:B,D5,Taaklys!H:H,"Risiko")</f>
        <v/>
      </c>
      <c r="H5" s="4">
        <f>COUNTIFS(Taaklys!B:B,D5,Taaklys!L:L,"Ja")</f>
        <v/>
      </c>
    </row>
    <row r="6">
      <c r="A6" s="4" t="inlineStr">
        <is>
          <t>Subdomain</t>
        </is>
      </c>
      <c r="B6" s="4">
        <f>'Instellings'!B7</f>
        <v/>
      </c>
      <c r="C6" s="4" t="n"/>
      <c r="D6" s="4" t="inlineStr">
        <is>
          <t>DNS en Azure</t>
        </is>
      </c>
      <c r="E6" s="4">
        <f>COUNTIF(Taaklys!B:B,D6)</f>
        <v/>
      </c>
      <c r="F6" s="4">
        <f>COUNTIFS(Taaklys!B:B,D6,Taaklys!H:H,"Voltooi")</f>
        <v/>
      </c>
      <c r="G6" s="4">
        <f>COUNTIFS(Taaklys!B:B,D6,Taaklys!H:H,"Risiko")</f>
        <v/>
      </c>
      <c r="H6" s="4">
        <f>COUNTIFS(Taaklys!B:B,D6,Taaklys!L:L,"Ja")</f>
        <v/>
      </c>
    </row>
    <row r="7">
      <c r="A7" s="4" t="inlineStr">
        <is>
          <t>Begroting per maand</t>
        </is>
      </c>
      <c r="B7" s="6">
        <f>'Instellings'!B5</f>
        <v/>
      </c>
      <c r="C7" s="4" t="n"/>
      <c r="D7" s="4" t="inlineStr">
        <is>
          <t>App voorbereiding</t>
        </is>
      </c>
      <c r="E7" s="4">
        <f>COUNTIF(Taaklys!B:B,D7)</f>
        <v/>
      </c>
      <c r="F7" s="4">
        <f>COUNTIFS(Taaklys!B:B,D7,Taaklys!H:H,"Voltooi")</f>
        <v/>
      </c>
      <c r="G7" s="4">
        <f>COUNTIFS(Taaklys!B:B,D7,Taaklys!H:H,"Risiko")</f>
        <v/>
      </c>
      <c r="H7" s="4">
        <f>COUNTIFS(Taaklys!B:B,D7,Taaklys!L:L,"Ja")</f>
        <v/>
      </c>
    </row>
    <row r="8">
      <c r="A8" s="4" t="inlineStr">
        <is>
          <t>Totale take</t>
        </is>
      </c>
      <c r="B8" s="4">
        <f>COUNTA(Taaklys!A3:A30)</f>
        <v/>
      </c>
      <c r="C8" s="4" t="n"/>
      <c r="D8" s="4" t="inlineStr">
        <is>
          <t>Databasis</t>
        </is>
      </c>
      <c r="E8" s="4">
        <f>COUNTIF(Taaklys!B:B,D8)</f>
        <v/>
      </c>
      <c r="F8" s="4">
        <f>COUNTIFS(Taaklys!B:B,D8,Taaklys!H:H,"Voltooi")</f>
        <v/>
      </c>
      <c r="G8" s="4">
        <f>COUNTIFS(Taaklys!B:B,D8,Taaklys!H:H,"Risiko")</f>
        <v/>
      </c>
      <c r="H8" s="4">
        <f>COUNTIFS(Taaklys!B:B,D8,Taaklys!L:L,"Ja")</f>
        <v/>
      </c>
    </row>
    <row r="9">
      <c r="A9" s="4" t="inlineStr">
        <is>
          <t>Voltooide take</t>
        </is>
      </c>
      <c r="B9" s="4">
        <f>COUNTIF(Taaklys!H3:H30,"Voltooi")</f>
        <v/>
      </c>
      <c r="C9" s="4" t="n"/>
      <c r="D9" s="4" t="inlineStr">
        <is>
          <t>Inhoud</t>
        </is>
      </c>
      <c r="E9" s="4">
        <f>COUNTIF(Taaklys!B:B,D9)</f>
        <v/>
      </c>
      <c r="F9" s="4">
        <f>COUNTIFS(Taaklys!B:B,D9,Taaklys!H:H,"Voltooi")</f>
        <v/>
      </c>
      <c r="G9" s="4">
        <f>COUNTIFS(Taaklys!B:B,D9,Taaklys!H:H,"Risiko")</f>
        <v/>
      </c>
      <c r="H9" s="4">
        <f>COUNTIFS(Taaklys!B:B,D9,Taaklys!L:L,"Ja")</f>
        <v/>
      </c>
    </row>
    <row r="10">
      <c r="A10" s="4" t="inlineStr">
        <is>
          <t>Take laat</t>
        </is>
      </c>
      <c r="B10" s="4">
        <f>COUNTIF(Taaklys!L3:L30,"Ja")</f>
        <v/>
      </c>
      <c r="C10" s="4" t="n"/>
      <c r="D10" s="4" t="inlineStr">
        <is>
          <t>Toetsing</t>
        </is>
      </c>
      <c r="E10" s="4">
        <f>COUNTIF(Taaklys!B:B,D10)</f>
        <v/>
      </c>
      <c r="F10" s="4">
        <f>COUNTIFS(Taaklys!B:B,D10,Taaklys!H:H,"Voltooi")</f>
        <v/>
      </c>
      <c r="G10" s="4">
        <f>COUNTIFS(Taaklys!B:B,D10,Taaklys!H:H,"Risiko")</f>
        <v/>
      </c>
      <c r="H10" s="4">
        <f>COUNTIFS(Taaklys!B:B,D10,Taaklys!L:L,"Ja")</f>
        <v/>
      </c>
    </row>
    <row r="11">
      <c r="A11" s="4" t="inlineStr">
        <is>
          <t>Risiko take</t>
        </is>
      </c>
      <c r="B11" s="4">
        <f>COUNTIF(Taaklys!H3:H30,"Risiko")</f>
        <v/>
      </c>
      <c r="C11" s="4" t="n"/>
      <c r="D11" s="4" t="inlineStr">
        <is>
          <t>Kommunikasie</t>
        </is>
      </c>
      <c r="E11" s="4">
        <f>COUNTIF(Taaklys!B:B,D11)</f>
        <v/>
      </c>
      <c r="F11" s="4">
        <f>COUNTIFS(Taaklys!B:B,D11,Taaklys!H:H,"Voltooi")</f>
        <v/>
      </c>
      <c r="G11" s="4">
        <f>COUNTIFS(Taaklys!B:B,D11,Taaklys!H:H,"Risiko")</f>
        <v/>
      </c>
      <c r="H11" s="4">
        <f>COUNTIFS(Taaklys!B:B,D11,Taaklys!L:L,"Ja")</f>
        <v/>
      </c>
    </row>
    <row r="12">
      <c r="A12" s="4" t="inlineStr">
        <is>
          <t>Gemiddelde vordering</t>
        </is>
      </c>
      <c r="B12" s="7">
        <f>AVERAGE(Taaklys!I3:I30)</f>
        <v/>
      </c>
      <c r="C12" s="4" t="n"/>
      <c r="D12" s="4" t="inlineStr">
        <is>
          <t>Go No Go</t>
        </is>
      </c>
      <c r="E12" s="4">
        <f>COUNTIF(Taaklys!B:B,D12)</f>
        <v/>
      </c>
      <c r="F12" s="4">
        <f>COUNTIFS(Taaklys!B:B,D12,Taaklys!H:H,"Voltooi")</f>
        <v/>
      </c>
      <c r="G12" s="4">
        <f>COUNTIFS(Taaklys!B:B,D12,Taaklys!H:H,"Risiko")</f>
        <v/>
      </c>
      <c r="H12" s="4">
        <f>COUNTIFS(Taaklys!B:B,D12,Taaklys!L:L,"Ja")</f>
        <v/>
      </c>
    </row>
    <row r="13">
      <c r="A13" s="4" t="inlineStr">
        <is>
          <t>Dae tot launch</t>
        </is>
      </c>
      <c r="B13" s="4">
        <f>'Instellings'!B2-TODAY()</f>
        <v/>
      </c>
      <c r="C13" s="4" t="n"/>
      <c r="D13" s="4" t="inlineStr">
        <is>
          <t>Launch</t>
        </is>
      </c>
      <c r="E13" s="4">
        <f>COUNTIF(Taaklys!B:B,D13)</f>
        <v/>
      </c>
      <c r="F13" s="4">
        <f>COUNTIFS(Taaklys!B:B,D13,Taaklys!H:H,"Voltooi")</f>
        <v/>
      </c>
      <c r="G13" s="4">
        <f>COUNTIFS(Taaklys!B:B,D13,Taaklys!H:H,"Risiko")</f>
        <v/>
      </c>
      <c r="H13" s="4">
        <f>COUNTIFS(Taaklys!B:B,D13,Taaklys!L:L,"Ja")</f>
        <v/>
      </c>
    </row>
    <row r="14">
      <c r="A14" s="4" t="inlineStr">
        <is>
          <t>Go no go status</t>
        </is>
      </c>
      <c r="B14" s="4">
        <f>IF(B7&gt;0,"Rooi",IF(B6&gt;0,"Amber",IF(B8&gt;=0.85,"Groen","Amber")))</f>
        <v/>
      </c>
      <c r="C14" s="4" t="n"/>
      <c r="D14" s="4" t="inlineStr">
        <is>
          <t>Monitering</t>
        </is>
      </c>
      <c r="E14" s="4">
        <f>COUNTIF(Taaklys!B:B,D14)</f>
        <v/>
      </c>
      <c r="F14" s="4">
        <f>COUNTIFS(Taaklys!B:B,D14,Taaklys!H:H,"Voltooi")</f>
        <v/>
      </c>
      <c r="G14" s="4">
        <f>COUNTIFS(Taaklys!B:B,D14,Taaklys!H:H,"Risiko")</f>
        <v/>
      </c>
      <c r="H14" s="4">
        <f>COUNTIFS(Taaklys!B:B,D14,Taaklys!L:L,"Ja")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Aksies Wat Nou Aandag Nodig Het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9" t="inlineStr">
        <is>
          <t>ID</t>
        </is>
      </c>
      <c r="B18" s="9" t="inlineStr">
        <is>
          <t>Fase</t>
        </is>
      </c>
      <c r="C18" s="9" t="inlineStr">
        <is>
          <t>Taak</t>
        </is>
      </c>
      <c r="D18" s="9" t="inlineStr">
        <is>
          <t>Eienaar</t>
        </is>
      </c>
      <c r="E18" s="9" t="inlineStr">
        <is>
          <t>Einde</t>
        </is>
      </c>
      <c r="F18" s="9" t="inlineStr">
        <is>
          <t>Status</t>
        </is>
      </c>
      <c r="G18" s="9" t="inlineStr">
        <is>
          <t>Prioriteit</t>
        </is>
      </c>
      <c r="H18" s="9" t="inlineStr">
        <is>
          <t>Rede</t>
        </is>
      </c>
    </row>
    <row r="19">
      <c r="A19" s="4">
        <f>IF(OR(Taaklys!L3="Ja",Taaklys!H3="Risiko",Taaklys!H3="Wag op iemand"),Taaklys!A3,"")</f>
        <v/>
      </c>
      <c r="B19" s="4">
        <f>IF(A19&lt;&gt;"",Taaklys!B3,"")</f>
        <v/>
      </c>
      <c r="C19" s="4">
        <f>IF(A19&lt;&gt;"",Taaklys!C3,"")</f>
        <v/>
      </c>
      <c r="D19" s="4">
        <f>IF(A19&lt;&gt;"",Taaklys!D3,"")</f>
        <v/>
      </c>
      <c r="E19" s="4">
        <f>IF(A19&lt;&gt;"",Taaklys!F3,"")</f>
        <v/>
      </c>
      <c r="F19" s="4">
        <f>IF(A19&lt;&gt;"",Taaklys!H3,"")</f>
        <v/>
      </c>
      <c r="G19" s="4">
        <f>IF(A19&lt;&gt;"",Taaklys!J3,"")</f>
        <v/>
      </c>
      <c r="H19" s="4">
        <f>IF(A19="","",IF(Taaklys!L3="Ja","Laat",IF(Taaklys!H3="Risiko","Risiko","Wag op iemand")))</f>
        <v/>
      </c>
    </row>
    <row r="20">
      <c r="A20" s="4">
        <f>IF(OR(Taaklys!L4="Ja",Taaklys!H4="Risiko",Taaklys!H4="Wag op iemand"),Taaklys!A4,"")</f>
        <v/>
      </c>
      <c r="B20" s="4">
        <f>IF(A20&lt;&gt;"",Taaklys!B4,"")</f>
        <v/>
      </c>
      <c r="C20" s="4">
        <f>IF(A20&lt;&gt;"",Taaklys!C4,"")</f>
        <v/>
      </c>
      <c r="D20" s="4">
        <f>IF(A20&lt;&gt;"",Taaklys!D4,"")</f>
        <v/>
      </c>
      <c r="E20" s="4">
        <f>IF(A20&lt;&gt;"",Taaklys!F4,"")</f>
        <v/>
      </c>
      <c r="F20" s="4">
        <f>IF(A20&lt;&gt;"",Taaklys!H4,"")</f>
        <v/>
      </c>
      <c r="G20" s="4">
        <f>IF(A20&lt;&gt;"",Taaklys!J4,"")</f>
        <v/>
      </c>
      <c r="H20" s="4">
        <f>IF(A20="","",IF(Taaklys!L4="Ja","Laat",IF(Taaklys!H4="Risiko","Risiko","Wag op iemand")))</f>
        <v/>
      </c>
    </row>
    <row r="21">
      <c r="A21" s="4">
        <f>IF(OR(Taaklys!L5="Ja",Taaklys!H5="Risiko",Taaklys!H5="Wag op iemand"),Taaklys!A5,"")</f>
        <v/>
      </c>
      <c r="B21" s="4">
        <f>IF(A21&lt;&gt;"",Taaklys!B5,"")</f>
        <v/>
      </c>
      <c r="C21" s="4">
        <f>IF(A21&lt;&gt;"",Taaklys!C5,"")</f>
        <v/>
      </c>
      <c r="D21" s="4">
        <f>IF(A21&lt;&gt;"",Taaklys!D5,"")</f>
        <v/>
      </c>
      <c r="E21" s="4">
        <f>IF(A21&lt;&gt;"",Taaklys!F5,"")</f>
        <v/>
      </c>
      <c r="F21" s="4">
        <f>IF(A21&lt;&gt;"",Taaklys!H5,"")</f>
        <v/>
      </c>
      <c r="G21" s="4">
        <f>IF(A21&lt;&gt;"",Taaklys!J5,"")</f>
        <v/>
      </c>
      <c r="H21" s="4">
        <f>IF(A21="","",IF(Taaklys!L5="Ja","Laat",IF(Taaklys!H5="Risiko","Risiko","Wag op iemand")))</f>
        <v/>
      </c>
    </row>
    <row r="22">
      <c r="A22" s="4">
        <f>IF(OR(Taaklys!L6="Ja",Taaklys!H6="Risiko",Taaklys!H6="Wag op iemand"),Taaklys!A6,"")</f>
        <v/>
      </c>
      <c r="B22" s="4">
        <f>IF(A22&lt;&gt;"",Taaklys!B6,"")</f>
        <v/>
      </c>
      <c r="C22" s="4">
        <f>IF(A22&lt;&gt;"",Taaklys!C6,"")</f>
        <v/>
      </c>
      <c r="D22" s="4">
        <f>IF(A22&lt;&gt;"",Taaklys!D6,"")</f>
        <v/>
      </c>
      <c r="E22" s="4">
        <f>IF(A22&lt;&gt;"",Taaklys!F6,"")</f>
        <v/>
      </c>
      <c r="F22" s="4">
        <f>IF(A22&lt;&gt;"",Taaklys!H6,"")</f>
        <v/>
      </c>
      <c r="G22" s="4">
        <f>IF(A22&lt;&gt;"",Taaklys!J6,"")</f>
        <v/>
      </c>
      <c r="H22" s="4">
        <f>IF(A22="","",IF(Taaklys!L6="Ja","Laat",IF(Taaklys!H6="Risiko","Risiko","Wag op iemand")))</f>
        <v/>
      </c>
    </row>
    <row r="23">
      <c r="A23" s="4">
        <f>IF(OR(Taaklys!L7="Ja",Taaklys!H7="Risiko",Taaklys!H7="Wag op iemand"),Taaklys!A7,"")</f>
        <v/>
      </c>
      <c r="B23" s="4">
        <f>IF(A23&lt;&gt;"",Taaklys!B7,"")</f>
        <v/>
      </c>
      <c r="C23" s="4">
        <f>IF(A23&lt;&gt;"",Taaklys!C7,"")</f>
        <v/>
      </c>
      <c r="D23" s="4">
        <f>IF(A23&lt;&gt;"",Taaklys!D7,"")</f>
        <v/>
      </c>
      <c r="E23" s="4">
        <f>IF(A23&lt;&gt;"",Taaklys!F7,"")</f>
        <v/>
      </c>
      <c r="F23" s="4">
        <f>IF(A23&lt;&gt;"",Taaklys!H7,"")</f>
        <v/>
      </c>
      <c r="G23" s="4">
        <f>IF(A23&lt;&gt;"",Taaklys!J7,"")</f>
        <v/>
      </c>
      <c r="H23" s="4">
        <f>IF(A23="","",IF(Taaklys!L7="Ja","Laat",IF(Taaklys!H7="Risiko","Risiko","Wag op iemand")))</f>
        <v/>
      </c>
    </row>
    <row r="24">
      <c r="A24" s="4">
        <f>IF(OR(Taaklys!L8="Ja",Taaklys!H8="Risiko",Taaklys!H8="Wag op iemand"),Taaklys!A8,"")</f>
        <v/>
      </c>
      <c r="B24" s="4">
        <f>IF(A24&lt;&gt;"",Taaklys!B8,"")</f>
        <v/>
      </c>
      <c r="C24" s="4">
        <f>IF(A24&lt;&gt;"",Taaklys!C8,"")</f>
        <v/>
      </c>
      <c r="D24" s="4">
        <f>IF(A24&lt;&gt;"",Taaklys!D8,"")</f>
        <v/>
      </c>
      <c r="E24" s="4">
        <f>IF(A24&lt;&gt;"",Taaklys!F8,"")</f>
        <v/>
      </c>
      <c r="F24" s="4">
        <f>IF(A24&lt;&gt;"",Taaklys!H8,"")</f>
        <v/>
      </c>
      <c r="G24" s="4">
        <f>IF(A24&lt;&gt;"",Taaklys!J8,"")</f>
        <v/>
      </c>
      <c r="H24" s="4">
        <f>IF(A24="","",IF(Taaklys!L8="Ja","Laat",IF(Taaklys!H8="Risiko","Risiko","Wag op iemand")))</f>
        <v/>
      </c>
    </row>
    <row r="25">
      <c r="A25" s="4">
        <f>IF(OR(Taaklys!L9="Ja",Taaklys!H9="Risiko",Taaklys!H9="Wag op iemand"),Taaklys!A9,"")</f>
        <v/>
      </c>
      <c r="B25" s="4">
        <f>IF(A25&lt;&gt;"",Taaklys!B9,"")</f>
        <v/>
      </c>
      <c r="C25" s="4">
        <f>IF(A25&lt;&gt;"",Taaklys!C9,"")</f>
        <v/>
      </c>
      <c r="D25" s="4">
        <f>IF(A25&lt;&gt;"",Taaklys!D9,"")</f>
        <v/>
      </c>
      <c r="E25" s="4">
        <f>IF(A25&lt;&gt;"",Taaklys!F9,"")</f>
        <v/>
      </c>
      <c r="F25" s="4">
        <f>IF(A25&lt;&gt;"",Taaklys!H9,"")</f>
        <v/>
      </c>
      <c r="G25" s="4">
        <f>IF(A25&lt;&gt;"",Taaklys!J9,"")</f>
        <v/>
      </c>
      <c r="H25" s="4">
        <f>IF(A25="","",IF(Taaklys!L9="Ja","Laat",IF(Taaklys!H9="Risiko","Risiko","Wag op iemand")))</f>
        <v/>
      </c>
    </row>
    <row r="26">
      <c r="A26" s="4">
        <f>IF(OR(Taaklys!L10="Ja",Taaklys!H10="Risiko",Taaklys!H10="Wag op iemand"),Taaklys!A10,"")</f>
        <v/>
      </c>
      <c r="B26" s="4">
        <f>IF(A26&lt;&gt;"",Taaklys!B10,"")</f>
        <v/>
      </c>
      <c r="C26" s="4">
        <f>IF(A26&lt;&gt;"",Taaklys!C10,"")</f>
        <v/>
      </c>
      <c r="D26" s="4">
        <f>IF(A26&lt;&gt;"",Taaklys!D10,"")</f>
        <v/>
      </c>
      <c r="E26" s="4">
        <f>IF(A26&lt;&gt;"",Taaklys!F10,"")</f>
        <v/>
      </c>
      <c r="F26" s="4">
        <f>IF(A26&lt;&gt;"",Taaklys!H10,"")</f>
        <v/>
      </c>
      <c r="G26" s="4">
        <f>IF(A26&lt;&gt;"",Taaklys!J10,"")</f>
        <v/>
      </c>
      <c r="H26" s="4">
        <f>IF(A26="","",IF(Taaklys!L10="Ja","Laat",IF(Taaklys!H10="Risiko","Risiko","Wag op iemand")))</f>
        <v/>
      </c>
    </row>
    <row r="27">
      <c r="A27" s="4">
        <f>IF(OR(Taaklys!L11="Ja",Taaklys!H11="Risiko",Taaklys!H11="Wag op iemand"),Taaklys!A11,"")</f>
        <v/>
      </c>
      <c r="B27" s="4">
        <f>IF(A27&lt;&gt;"",Taaklys!B11,"")</f>
        <v/>
      </c>
      <c r="C27" s="4">
        <f>IF(A27&lt;&gt;"",Taaklys!C11,"")</f>
        <v/>
      </c>
      <c r="D27" s="4">
        <f>IF(A27&lt;&gt;"",Taaklys!D11,"")</f>
        <v/>
      </c>
      <c r="E27" s="4">
        <f>IF(A27&lt;&gt;"",Taaklys!F11,"")</f>
        <v/>
      </c>
      <c r="F27" s="4">
        <f>IF(A27&lt;&gt;"",Taaklys!H11,"")</f>
        <v/>
      </c>
      <c r="G27" s="4">
        <f>IF(A27&lt;&gt;"",Taaklys!J11,"")</f>
        <v/>
      </c>
      <c r="H27" s="4">
        <f>IF(A27="","",IF(Taaklys!L11="Ja","Laat",IF(Taaklys!H11="Risiko","Risiko","Wag op iemand")))</f>
        <v/>
      </c>
    </row>
    <row r="28">
      <c r="A28" s="4">
        <f>IF(OR(Taaklys!L12="Ja",Taaklys!H12="Risiko",Taaklys!H12="Wag op iemand"),Taaklys!A12,"")</f>
        <v/>
      </c>
      <c r="B28" s="4">
        <f>IF(A28&lt;&gt;"",Taaklys!B12,"")</f>
        <v/>
      </c>
      <c r="C28" s="4">
        <f>IF(A28&lt;&gt;"",Taaklys!C12,"")</f>
        <v/>
      </c>
      <c r="D28" s="4">
        <f>IF(A28&lt;&gt;"",Taaklys!D12,"")</f>
        <v/>
      </c>
      <c r="E28" s="4">
        <f>IF(A28&lt;&gt;"",Taaklys!F12,"")</f>
        <v/>
      </c>
      <c r="F28" s="4">
        <f>IF(A28&lt;&gt;"",Taaklys!H12,"")</f>
        <v/>
      </c>
      <c r="G28" s="4">
        <f>IF(A28&lt;&gt;"",Taaklys!J12,"")</f>
        <v/>
      </c>
      <c r="H28" s="4">
        <f>IF(A28="","",IF(Taaklys!L12="Ja","Laat",IF(Taaklys!H12="Risiko","Risiko","Wag op iemand")))</f>
        <v/>
      </c>
    </row>
    <row r="29">
      <c r="A29" s="4">
        <f>IF(OR(Taaklys!L13="Ja",Taaklys!H13="Risiko",Taaklys!H13="Wag op iemand"),Taaklys!A13,"")</f>
        <v/>
      </c>
      <c r="B29" s="4">
        <f>IF(A29&lt;&gt;"",Taaklys!B13,"")</f>
        <v/>
      </c>
      <c r="C29" s="4">
        <f>IF(A29&lt;&gt;"",Taaklys!C13,"")</f>
        <v/>
      </c>
      <c r="D29" s="4">
        <f>IF(A29&lt;&gt;"",Taaklys!D13,"")</f>
        <v/>
      </c>
      <c r="E29" s="4">
        <f>IF(A29&lt;&gt;"",Taaklys!F13,"")</f>
        <v/>
      </c>
      <c r="F29" s="4">
        <f>IF(A29&lt;&gt;"",Taaklys!H13,"")</f>
        <v/>
      </c>
      <c r="G29" s="4">
        <f>IF(A29&lt;&gt;"",Taaklys!J13,"")</f>
        <v/>
      </c>
      <c r="H29" s="4">
        <f>IF(A29="","",IF(Taaklys!L13="Ja","Laat",IF(Taaklys!H13="Risiko","Risiko","Wag op iemand")))</f>
        <v/>
      </c>
    </row>
    <row r="30">
      <c r="A30" s="4">
        <f>IF(OR(Taaklys!L14="Ja",Taaklys!H14="Risiko",Taaklys!H14="Wag op iemand"),Taaklys!A14,"")</f>
        <v/>
      </c>
      <c r="B30" s="4">
        <f>IF(A30&lt;&gt;"",Taaklys!B14,"")</f>
        <v/>
      </c>
      <c r="C30" s="4">
        <f>IF(A30&lt;&gt;"",Taaklys!C14,"")</f>
        <v/>
      </c>
      <c r="D30" s="4">
        <f>IF(A30&lt;&gt;"",Taaklys!D14,"")</f>
        <v/>
      </c>
      <c r="E30" s="4">
        <f>IF(A30&lt;&gt;"",Taaklys!F14,"")</f>
        <v/>
      </c>
      <c r="F30" s="4">
        <f>IF(A30&lt;&gt;"",Taaklys!H14,"")</f>
        <v/>
      </c>
      <c r="G30" s="4">
        <f>IF(A30&lt;&gt;"",Taaklys!J14,"")</f>
        <v/>
      </c>
      <c r="H30" s="4">
        <f>IF(A30="","",IF(Taaklys!L14="Ja","Laat",IF(Taaklys!H14="Risiko","Risiko","Wag op iemand")))</f>
        <v/>
      </c>
    </row>
  </sheetData>
  <mergeCells count="3">
    <mergeCell ref="A2:H2"/>
    <mergeCell ref="A17:H17"/>
    <mergeCell ref="A1:H1"/>
  </mergeCells>
  <conditionalFormatting sqref="B14">
    <cfRule type="cellIs" priority="1" operator="equal" dxfId="0">
      <formula>"Groen"</formula>
    </cfRule>
    <cfRule type="cellIs" priority="2" operator="equal" dxfId="1">
      <formula>"Amber"</formula>
    </cfRule>
    <cfRule type="cellIs" priority="3" operator="equal" dxfId="2">
      <formula>"Rooi"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18" customWidth="1" min="4" max="4"/>
    <col width="14" customWidth="1" min="5" max="5"/>
    <col width="14" customWidth="1" min="6" max="6"/>
    <col width="10" customWidth="1" min="7" max="7"/>
    <col width="16" customWidth="1" min="8" max="8"/>
    <col width="12" customWidth="1" min="9" max="9"/>
    <col width="12" customWidth="1" min="10" max="10"/>
    <col width="10" customWidth="1" min="11" max="11"/>
    <col width="10" customWidth="1" min="12" max="12"/>
    <col width="15" customWidth="1" min="13" max="13"/>
    <col width="44" customWidth="1" min="14" max="14"/>
  </cols>
  <sheetData>
    <row r="1">
      <c r="A1" s="10" t="inlineStr">
        <is>
          <t>Soft Launch Taaklys</t>
        </is>
      </c>
    </row>
    <row r="2">
      <c r="A2" s="3" t="inlineStr">
        <is>
          <t>ID</t>
        </is>
      </c>
      <c r="B2" s="3" t="inlineStr">
        <is>
          <t>Fase</t>
        </is>
      </c>
      <c r="C2" s="3" t="inlineStr">
        <is>
          <t>Taak</t>
        </is>
      </c>
      <c r="D2" s="3" t="inlineStr">
        <is>
          <t>Eienaar</t>
        </is>
      </c>
      <c r="E2" s="3" t="inlineStr">
        <is>
          <t>Begin</t>
        </is>
      </c>
      <c r="F2" s="3" t="inlineStr">
        <is>
          <t>Einde</t>
        </is>
      </c>
      <c r="G2" s="3" t="inlineStr">
        <is>
          <t>Duur</t>
        </is>
      </c>
      <c r="H2" s="3" t="inlineStr">
        <is>
          <t>Status</t>
        </is>
      </c>
      <c r="I2" s="3" t="inlineStr">
        <is>
          <t>Vordering</t>
        </is>
      </c>
      <c r="J2" s="3" t="inlineStr">
        <is>
          <t>Prioriteit</t>
        </is>
      </c>
      <c r="K2" s="3" t="inlineStr">
        <is>
          <t>Dae Oor</t>
        </is>
      </c>
      <c r="L2" s="3" t="inlineStr">
        <is>
          <t>Laat</t>
        </is>
      </c>
      <c r="M2" s="3" t="inlineStr">
        <is>
          <t>Afhanklikheid</t>
        </is>
      </c>
      <c r="N2" s="3" t="inlineStr">
        <is>
          <t>Notas</t>
        </is>
      </c>
    </row>
    <row r="3">
      <c r="A3" s="4" t="inlineStr">
        <is>
          <t>T01</t>
        </is>
      </c>
      <c r="B3" s="4" t="inlineStr">
        <is>
          <t>Besluitneming</t>
        </is>
      </c>
      <c r="C3" s="4" t="inlineStr">
        <is>
          <t>Bevestig soft launch omvang vir Graad 8 en 9</t>
        </is>
      </c>
      <c r="D3" s="4" t="inlineStr">
        <is>
          <t>Projekleier</t>
        </is>
      </c>
      <c r="E3" s="5">
        <f>'Instellings'!$B$2+-28</f>
        <v/>
      </c>
      <c r="F3" s="5">
        <f>'Instellings'!$B$2+-25</f>
        <v/>
      </c>
      <c r="G3" s="4">
        <f>F3-E3+1</f>
        <v/>
      </c>
      <c r="H3" s="4" t="inlineStr">
        <is>
          <t>Nie begin</t>
        </is>
      </c>
      <c r="I3" s="7" t="n">
        <v>0</v>
      </c>
      <c r="J3" s="4" t="inlineStr">
        <is>
          <t>Hoog</t>
        </is>
      </c>
      <c r="K3" s="4">
        <f>F3-TODAY()</f>
        <v/>
      </c>
      <c r="L3" s="4">
        <f>IF(AND(H3&lt;&gt;"Voltooi",F3&lt;TODAY()),"Ja","Nee")</f>
        <v/>
      </c>
      <c r="M3" s="4" t="inlineStr"/>
      <c r="N3" s="4" t="inlineStr">
        <is>
          <t>SGB en skoolbestuur moet die omvang goedkeur.</t>
        </is>
      </c>
    </row>
    <row r="4">
      <c r="A4" s="4" t="inlineStr">
        <is>
          <t>T02</t>
        </is>
      </c>
      <c r="B4" s="4" t="inlineStr">
        <is>
          <t>Besluitneming</t>
        </is>
      </c>
      <c r="C4" s="4" t="inlineStr">
        <is>
          <t>Kry POPIA en leerderdata goedkeuring</t>
        </is>
      </c>
      <c r="D4" s="4" t="inlineStr">
        <is>
          <t>SGB</t>
        </is>
      </c>
      <c r="E4" s="5">
        <f>'Instellings'!$B$2+-28</f>
        <v/>
      </c>
      <c r="F4" s="5">
        <f>'Instellings'!$B$2+-20</f>
        <v/>
      </c>
      <c r="G4" s="4">
        <f>F4-E4+1</f>
        <v/>
      </c>
      <c r="H4" s="4" t="inlineStr">
        <is>
          <t>Nie begin</t>
        </is>
      </c>
      <c r="I4" s="7" t="n">
        <v>0</v>
      </c>
      <c r="J4" s="4" t="inlineStr">
        <is>
          <t>Hoog</t>
        </is>
      </c>
      <c r="K4" s="4">
        <f>F4-TODAY()</f>
        <v/>
      </c>
      <c r="L4" s="4">
        <f>IF(AND(H4&lt;&gt;"Voltooi",F4&lt;TODAY()),"Ja","Nee")</f>
        <v/>
      </c>
      <c r="M4" s="4" t="inlineStr">
        <is>
          <t>T01</t>
        </is>
      </c>
      <c r="N4" s="4" t="inlineStr">
        <is>
          <t>Besluit watter leerderdata gestoor mag word.</t>
        </is>
      </c>
    </row>
    <row r="5">
      <c r="A5" s="4" t="inlineStr">
        <is>
          <t>T03</t>
        </is>
      </c>
      <c r="B5" s="4" t="inlineStr">
        <is>
          <t>Besluitneming</t>
        </is>
      </c>
      <c r="C5" s="4" t="inlineStr">
        <is>
          <t>Bevestig maandelikse Azure begroting</t>
        </is>
      </c>
      <c r="D5" s="4" t="inlineStr">
        <is>
          <t>SGB</t>
        </is>
      </c>
      <c r="E5" s="5">
        <f>'Instellings'!$B$2+-25</f>
        <v/>
      </c>
      <c r="F5" s="5">
        <f>'Instellings'!$B$2+-18</f>
        <v/>
      </c>
      <c r="G5" s="4">
        <f>F5-E5+1</f>
        <v/>
      </c>
      <c r="H5" s="4" t="inlineStr">
        <is>
          <t>Nie begin</t>
        </is>
      </c>
      <c r="I5" s="7" t="n">
        <v>0</v>
      </c>
      <c r="J5" s="4" t="inlineStr">
        <is>
          <t>Hoog</t>
        </is>
      </c>
      <c r="K5" s="4">
        <f>F5-TODAY()</f>
        <v/>
      </c>
      <c r="L5" s="4">
        <f>IF(AND(H5&lt;&gt;"Voltooi",F5&lt;TODAY()),"Ja","Nee")</f>
        <v/>
      </c>
      <c r="M5" s="4" t="inlineStr">
        <is>
          <t>T01</t>
        </is>
      </c>
      <c r="N5" s="4" t="inlineStr">
        <is>
          <t>Voorstel: R1 500 maksimum begrotingslyn.</t>
        </is>
      </c>
    </row>
    <row r="6">
      <c r="A6" s="4" t="inlineStr">
        <is>
          <t>T04</t>
        </is>
      </c>
      <c r="B6" s="4" t="inlineStr">
        <is>
          <t>DNS en Azure</t>
        </is>
      </c>
      <c r="C6" s="4" t="inlineStr">
        <is>
          <t>Bevestig subdomain naam en DNS eienaar</t>
        </is>
      </c>
      <c r="D6" s="4" t="inlineStr">
        <is>
          <t>Skool IT</t>
        </is>
      </c>
      <c r="E6" s="5">
        <f>'Instellings'!$B$2+-21</f>
        <v/>
      </c>
      <c r="F6" s="5">
        <f>'Instellings'!$B$2+-16</f>
        <v/>
      </c>
      <c r="G6" s="4">
        <f>F6-E6+1</f>
        <v/>
      </c>
      <c r="H6" s="4" t="inlineStr">
        <is>
          <t>Nie begin</t>
        </is>
      </c>
      <c r="I6" s="7" t="n">
        <v>0</v>
      </c>
      <c r="J6" s="4" t="inlineStr">
        <is>
          <t>Hoog</t>
        </is>
      </c>
      <c r="K6" s="4">
        <f>F6-TODAY()</f>
        <v/>
      </c>
      <c r="L6" s="4">
        <f>IF(AND(H6&lt;&gt;"Voltooi",F6&lt;TODAY()),"Ja","Nee")</f>
        <v/>
      </c>
      <c r="M6" s="4" t="inlineStr">
        <is>
          <t>T01</t>
        </is>
      </c>
      <c r="N6" s="4" t="inlineStr">
        <is>
          <t>Voorbeeld: akademie.hoerskoolflorida.co.za.</t>
        </is>
      </c>
    </row>
    <row r="7">
      <c r="A7" s="4" t="inlineStr">
        <is>
          <t>T05</t>
        </is>
      </c>
      <c r="B7" s="4" t="inlineStr">
        <is>
          <t>DNS en Azure</t>
        </is>
      </c>
      <c r="C7" s="4" t="inlineStr">
        <is>
          <t>Skep Azure resource group en netwerk</t>
        </is>
      </c>
      <c r="D7" s="4" t="inlineStr">
        <is>
          <t>Azure Admin</t>
        </is>
      </c>
      <c r="E7" s="5">
        <f>'Instellings'!$B$2+-18</f>
        <v/>
      </c>
      <c r="F7" s="5">
        <f>'Instellings'!$B$2+-14</f>
        <v/>
      </c>
      <c r="G7" s="4">
        <f>F7-E7+1</f>
        <v/>
      </c>
      <c r="H7" s="4" t="inlineStr">
        <is>
          <t>Nie begin</t>
        </is>
      </c>
      <c r="I7" s="7" t="n">
        <v>0</v>
      </c>
      <c r="J7" s="4" t="inlineStr">
        <is>
          <t>Hoog</t>
        </is>
      </c>
      <c r="K7" s="4">
        <f>F7-TODAY()</f>
        <v/>
      </c>
      <c r="L7" s="4">
        <f>IF(AND(H7&lt;&gt;"Voltooi",F7&lt;TODAY()),"Ja","Nee")</f>
        <v/>
      </c>
      <c r="M7" s="4" t="inlineStr">
        <is>
          <t>T03</t>
        </is>
      </c>
      <c r="N7" s="4" t="inlineStr">
        <is>
          <t>Hou alles in een resource group vir kostebeheer.</t>
        </is>
      </c>
    </row>
    <row r="8">
      <c r="A8" s="4" t="inlineStr">
        <is>
          <t>T06</t>
        </is>
      </c>
      <c r="B8" s="4" t="inlineStr">
        <is>
          <t>DNS en Azure</t>
        </is>
      </c>
      <c r="C8" s="4" t="inlineStr">
        <is>
          <t>Skep Azure VM B1ms</t>
        </is>
      </c>
      <c r="D8" s="4" t="inlineStr">
        <is>
          <t>Azure Admin</t>
        </is>
      </c>
      <c r="E8" s="5">
        <f>'Instellings'!$B$2+-16</f>
        <v/>
      </c>
      <c r="F8" s="5">
        <f>'Instellings'!$B$2+-13</f>
        <v/>
      </c>
      <c r="G8" s="4">
        <f>F8-E8+1</f>
        <v/>
      </c>
      <c r="H8" s="4" t="inlineStr">
        <is>
          <t>Nie begin</t>
        </is>
      </c>
      <c r="I8" s="7" t="n">
        <v>0</v>
      </c>
      <c r="J8" s="4" t="inlineStr">
        <is>
          <t>Hoog</t>
        </is>
      </c>
      <c r="K8" s="4">
        <f>F8-TODAY()</f>
        <v/>
      </c>
      <c r="L8" s="4">
        <f>IF(AND(H8&lt;&gt;"Voltooi",F8&lt;TODAY()),"Ja","Nee")</f>
        <v/>
      </c>
      <c r="M8" s="4" t="inlineStr">
        <is>
          <t>T05</t>
        </is>
      </c>
      <c r="N8" s="4" t="inlineStr">
        <is>
          <t>Ubuntu Linux VM vir Streamlit app.</t>
        </is>
      </c>
    </row>
    <row r="9">
      <c r="A9" s="4" t="inlineStr">
        <is>
          <t>T07</t>
        </is>
      </c>
      <c r="B9" s="4" t="inlineStr">
        <is>
          <t>DNS en Azure</t>
        </is>
      </c>
      <c r="C9" s="4" t="inlineStr">
        <is>
          <t>Skep Azure PostgreSQL Flexible Server</t>
        </is>
      </c>
      <c r="D9" s="4" t="inlineStr">
        <is>
          <t>Azure Admin</t>
        </is>
      </c>
      <c r="E9" s="5">
        <f>'Instellings'!$B$2+-16</f>
        <v/>
      </c>
      <c r="F9" s="5">
        <f>'Instellings'!$B$2+-12</f>
        <v/>
      </c>
      <c r="G9" s="4">
        <f>F9-E9+1</f>
        <v/>
      </c>
      <c r="H9" s="4" t="inlineStr">
        <is>
          <t>Nie begin</t>
        </is>
      </c>
      <c r="I9" s="7" t="n">
        <v>0</v>
      </c>
      <c r="J9" s="4" t="inlineStr">
        <is>
          <t>Hoog</t>
        </is>
      </c>
      <c r="K9" s="4">
        <f>F9-TODAY()</f>
        <v/>
      </c>
      <c r="L9" s="4">
        <f>IF(AND(H9&lt;&gt;"Voltooi",F9&lt;TODAY()),"Ja","Nee")</f>
        <v/>
      </c>
      <c r="M9" s="4" t="inlineStr">
        <is>
          <t>T05</t>
        </is>
      </c>
      <c r="N9" s="4" t="inlineStr">
        <is>
          <t>Gebruik private networking indien moontlik.</t>
        </is>
      </c>
    </row>
    <row r="10">
      <c r="A10" s="4" t="inlineStr">
        <is>
          <t>T08</t>
        </is>
      </c>
      <c r="B10" s="4" t="inlineStr">
        <is>
          <t>DNS en Azure</t>
        </is>
      </c>
      <c r="C10" s="4" t="inlineStr">
        <is>
          <t>Stel firewall en SSH toegang op</t>
        </is>
      </c>
      <c r="D10" s="4" t="inlineStr">
        <is>
          <t>Skool IT</t>
        </is>
      </c>
      <c r="E10" s="5">
        <f>'Instellings'!$B$2+-14</f>
        <v/>
      </c>
      <c r="F10" s="5">
        <f>'Instellings'!$B$2+-11</f>
        <v/>
      </c>
      <c r="G10" s="4">
        <f>F10-E10+1</f>
        <v/>
      </c>
      <c r="H10" s="4" t="inlineStr">
        <is>
          <t>Nie begin</t>
        </is>
      </c>
      <c r="I10" s="7" t="n">
        <v>0</v>
      </c>
      <c r="J10" s="4" t="inlineStr">
        <is>
          <t>Hoog</t>
        </is>
      </c>
      <c r="K10" s="4">
        <f>F10-TODAY()</f>
        <v/>
      </c>
      <c r="L10" s="4">
        <f>IF(AND(H10&lt;&gt;"Voltooi",F10&lt;TODAY()),"Ja","Nee")</f>
        <v/>
      </c>
      <c r="M10" s="4" t="inlineStr">
        <is>
          <t>T06</t>
        </is>
      </c>
      <c r="N10" s="4" t="inlineStr">
        <is>
          <t>Port 80/443 publiek. SSH beperk tot admin IP.</t>
        </is>
      </c>
    </row>
    <row r="11">
      <c r="A11" s="4" t="inlineStr">
        <is>
          <t>T09</t>
        </is>
      </c>
      <c r="B11" s="4" t="inlineStr">
        <is>
          <t>App voorbereiding</t>
        </is>
      </c>
      <c r="C11" s="4" t="inlineStr">
        <is>
          <t>Plaas production-school-app op VM</t>
        </is>
      </c>
      <c r="D11" s="4" t="inlineStr">
        <is>
          <t>Projekleier</t>
        </is>
      </c>
      <c r="E11" s="5">
        <f>'Instellings'!$B$2+-12</f>
        <v/>
      </c>
      <c r="F11" s="5">
        <f>'Instellings'!$B$2+-10</f>
        <v/>
      </c>
      <c r="G11" s="4">
        <f>F11-E11+1</f>
        <v/>
      </c>
      <c r="H11" s="4" t="inlineStr">
        <is>
          <t>Nie begin</t>
        </is>
      </c>
      <c r="I11" s="7" t="n">
        <v>0</v>
      </c>
      <c r="J11" s="4" t="inlineStr">
        <is>
          <t>Hoog</t>
        </is>
      </c>
      <c r="K11" s="4">
        <f>F11-TODAY()</f>
        <v/>
      </c>
      <c r="L11" s="4">
        <f>IF(AND(H11&lt;&gt;"Voltooi",F11&lt;TODAY()),"Ja","Nee")</f>
        <v/>
      </c>
      <c r="M11" s="4" t="inlineStr">
        <is>
          <t>T06</t>
        </is>
      </c>
      <c r="N11" s="4" t="inlineStr">
        <is>
          <t>Gebruik produksie-folder wat reeds gebou is.</t>
        </is>
      </c>
    </row>
    <row r="12">
      <c r="A12" s="4" t="inlineStr">
        <is>
          <t>T10</t>
        </is>
      </c>
      <c r="B12" s="4" t="inlineStr">
        <is>
          <t>App voorbereiding</t>
        </is>
      </c>
      <c r="C12" s="4" t="inlineStr">
        <is>
          <t>Stel .env en DATABASE_URL op</t>
        </is>
      </c>
      <c r="D12" s="4" t="inlineStr">
        <is>
          <t>Azure Admin</t>
        </is>
      </c>
      <c r="E12" s="5">
        <f>'Instellings'!$B$2+-10</f>
        <v/>
      </c>
      <c r="F12" s="5">
        <f>'Instellings'!$B$2+-9</f>
        <v/>
      </c>
      <c r="G12" s="4">
        <f>F12-E12+1</f>
        <v/>
      </c>
      <c r="H12" s="4" t="inlineStr">
        <is>
          <t>Nie begin</t>
        </is>
      </c>
      <c r="I12" s="7" t="n">
        <v>0</v>
      </c>
      <c r="J12" s="4" t="inlineStr">
        <is>
          <t>Hoog</t>
        </is>
      </c>
      <c r="K12" s="4">
        <f>F12-TODAY()</f>
        <v/>
      </c>
      <c r="L12" s="4">
        <f>IF(AND(H12&lt;&gt;"Voltooi",F12&lt;TODAY()),"Ja","Nee")</f>
        <v/>
      </c>
      <c r="M12" s="4" t="inlineStr">
        <is>
          <t>T07</t>
        </is>
      </c>
      <c r="N12" s="4" t="inlineStr">
        <is>
          <t>Gebruik sterk onderwyser wagwoord.</t>
        </is>
      </c>
    </row>
    <row r="13">
      <c r="A13" s="4" t="inlineStr">
        <is>
          <t>T11</t>
        </is>
      </c>
      <c r="B13" s="4" t="inlineStr">
        <is>
          <t>App voorbereiding</t>
        </is>
      </c>
      <c r="C13" s="4" t="inlineStr">
        <is>
          <t>Start app as systemd service</t>
        </is>
      </c>
      <c r="D13" s="4" t="inlineStr">
        <is>
          <t>Azure Admin</t>
        </is>
      </c>
      <c r="E13" s="5">
        <f>'Instellings'!$B$2+-9</f>
        <v/>
      </c>
      <c r="F13" s="5">
        <f>'Instellings'!$B$2+-8</f>
        <v/>
      </c>
      <c r="G13" s="4">
        <f>F13-E13+1</f>
        <v/>
      </c>
      <c r="H13" s="4" t="inlineStr">
        <is>
          <t>Nie begin</t>
        </is>
      </c>
      <c r="I13" s="7" t="n">
        <v>0</v>
      </c>
      <c r="J13" s="4" t="inlineStr">
        <is>
          <t>Hoog</t>
        </is>
      </c>
      <c r="K13" s="4">
        <f>F13-TODAY()</f>
        <v/>
      </c>
      <c r="L13" s="4">
        <f>IF(AND(H13&lt;&gt;"Voltooi",F13&lt;TODAY()),"Ja","Nee")</f>
        <v/>
      </c>
      <c r="M13" s="4" t="inlineStr">
        <is>
          <t>T09</t>
        </is>
      </c>
      <c r="N13" s="4" t="inlineStr">
        <is>
          <t>Toets dat service outomaties herstart.</t>
        </is>
      </c>
    </row>
    <row r="14">
      <c r="A14" s="4" t="inlineStr">
        <is>
          <t>T12</t>
        </is>
      </c>
      <c r="B14" s="4" t="inlineStr">
        <is>
          <t>App voorbereiding</t>
        </is>
      </c>
      <c r="C14" s="4" t="inlineStr">
        <is>
          <t>Stel Nginx reverse proxy op</t>
        </is>
      </c>
      <c r="D14" s="4" t="inlineStr">
        <is>
          <t>Azure Admin</t>
        </is>
      </c>
      <c r="E14" s="5">
        <f>'Instellings'!$B$2+-8</f>
        <v/>
      </c>
      <c r="F14" s="5">
        <f>'Instellings'!$B$2+-7</f>
        <v/>
      </c>
      <c r="G14" s="4">
        <f>F14-E14+1</f>
        <v/>
      </c>
      <c r="H14" s="4" t="inlineStr">
        <is>
          <t>Nie begin</t>
        </is>
      </c>
      <c r="I14" s="7" t="n">
        <v>0</v>
      </c>
      <c r="J14" s="4" t="inlineStr">
        <is>
          <t>Hoog</t>
        </is>
      </c>
      <c r="K14" s="4">
        <f>F14-TODAY()</f>
        <v/>
      </c>
      <c r="L14" s="4">
        <f>IF(AND(H14&lt;&gt;"Voltooi",F14&lt;TODAY()),"Ja","Nee")</f>
        <v/>
      </c>
      <c r="M14" s="4" t="inlineStr">
        <is>
          <t>T11</t>
        </is>
      </c>
      <c r="N14" s="4" t="inlineStr">
        <is>
          <t>Proxy na localhost:8501.</t>
        </is>
      </c>
    </row>
    <row r="15">
      <c r="A15" s="4" t="inlineStr">
        <is>
          <t>T13</t>
        </is>
      </c>
      <c r="B15" s="4" t="inlineStr">
        <is>
          <t>App voorbereiding</t>
        </is>
      </c>
      <c r="C15" s="4" t="inlineStr">
        <is>
          <t>Koppel subdomain en HTTPS sertifikaat</t>
        </is>
      </c>
      <c r="D15" s="4" t="inlineStr">
        <is>
          <t>Skool IT</t>
        </is>
      </c>
      <c r="E15" s="5">
        <f>'Instellings'!$B$2+-7</f>
        <v/>
      </c>
      <c r="F15" s="5">
        <f>'Instellings'!$B$2+-5</f>
        <v/>
      </c>
      <c r="G15" s="4">
        <f>F15-E15+1</f>
        <v/>
      </c>
      <c r="H15" s="4" t="inlineStr">
        <is>
          <t>Nie begin</t>
        </is>
      </c>
      <c r="I15" s="7" t="n">
        <v>0</v>
      </c>
      <c r="J15" s="4" t="inlineStr">
        <is>
          <t>Hoog</t>
        </is>
      </c>
      <c r="K15" s="4">
        <f>F15-TODAY()</f>
        <v/>
      </c>
      <c r="L15" s="4">
        <f>IF(AND(H15&lt;&gt;"Voltooi",F15&lt;TODAY()),"Ja","Nee")</f>
        <v/>
      </c>
      <c r="M15" s="4" t="inlineStr">
        <is>
          <t>T04</t>
        </is>
      </c>
      <c r="N15" s="4" t="inlineStr">
        <is>
          <t>Gebruik Let's Encrypt of skoolsertifikaat.</t>
        </is>
      </c>
    </row>
    <row r="16">
      <c r="A16" s="4" t="inlineStr">
        <is>
          <t>T14</t>
        </is>
      </c>
      <c r="B16" s="4" t="inlineStr">
        <is>
          <t>Databasis</t>
        </is>
      </c>
      <c r="C16" s="4" t="inlineStr">
        <is>
          <t>Toets PostgreSQL migrasie en tabelleskepping</t>
        </is>
      </c>
      <c r="D16" s="4" t="inlineStr">
        <is>
          <t>Projekleier</t>
        </is>
      </c>
      <c r="E16" s="5">
        <f>'Instellings'!$B$2+-7</f>
        <v/>
      </c>
      <c r="F16" s="5">
        <f>'Instellings'!$B$2+-5</f>
        <v/>
      </c>
      <c r="G16" s="4">
        <f>F16-E16+1</f>
        <v/>
      </c>
      <c r="H16" s="4" t="inlineStr">
        <is>
          <t>Nie begin</t>
        </is>
      </c>
      <c r="I16" s="7" t="n">
        <v>0</v>
      </c>
      <c r="J16" s="4" t="inlineStr">
        <is>
          <t>Hoog</t>
        </is>
      </c>
      <c r="K16" s="4">
        <f>F16-TODAY()</f>
        <v/>
      </c>
      <c r="L16" s="4">
        <f>IF(AND(H16&lt;&gt;"Voltooi",F16&lt;TODAY()),"Ja","Nee")</f>
        <v/>
      </c>
      <c r="M16" s="4" t="inlineStr">
        <is>
          <t>T10</t>
        </is>
      </c>
      <c r="N16" s="4" t="inlineStr">
        <is>
          <t>Toets login, registrasie, vrae en tellings.</t>
        </is>
      </c>
    </row>
    <row r="17">
      <c r="A17" s="4" t="inlineStr">
        <is>
          <t>T15</t>
        </is>
      </c>
      <c r="B17" s="4" t="inlineStr">
        <is>
          <t>Inhoud</t>
        </is>
      </c>
      <c r="C17" s="4" t="inlineStr">
        <is>
          <t>Laai Graad 8 vrae in</t>
        </is>
      </c>
      <c r="D17" s="4" t="inlineStr">
        <is>
          <t>Onderwyser</t>
        </is>
      </c>
      <c r="E17" s="5">
        <f>'Instellings'!$B$2+-7</f>
        <v/>
      </c>
      <c r="F17" s="5">
        <f>'Instellings'!$B$2+-3</f>
        <v/>
      </c>
      <c r="G17" s="4">
        <f>F17-E17+1</f>
        <v/>
      </c>
      <c r="H17" s="4" t="inlineStr">
        <is>
          <t>Nie begin</t>
        </is>
      </c>
      <c r="I17" s="7" t="n">
        <v>0</v>
      </c>
      <c r="J17" s="4" t="inlineStr">
        <is>
          <t>Medium</t>
        </is>
      </c>
      <c r="K17" s="4">
        <f>F17-TODAY()</f>
        <v/>
      </c>
      <c r="L17" s="4">
        <f>IF(AND(H17&lt;&gt;"Voltooi",F17&lt;TODAY()),"Ja","Nee")</f>
        <v/>
      </c>
      <c r="M17" s="4" t="inlineStr">
        <is>
          <t>T14</t>
        </is>
      </c>
      <c r="N17" s="4" t="inlineStr">
        <is>
          <t>Gebruik Excel bulk upload template.</t>
        </is>
      </c>
    </row>
    <row r="18">
      <c r="A18" s="4" t="inlineStr">
        <is>
          <t>T16</t>
        </is>
      </c>
      <c r="B18" s="4" t="inlineStr">
        <is>
          <t>Inhoud</t>
        </is>
      </c>
      <c r="C18" s="4" t="inlineStr">
        <is>
          <t>Laai Graad 9 vrae in</t>
        </is>
      </c>
      <c r="D18" s="4" t="inlineStr">
        <is>
          <t>Onderwyser</t>
        </is>
      </c>
      <c r="E18" s="5">
        <f>'Instellings'!$B$2+-7</f>
        <v/>
      </c>
      <c r="F18" s="5">
        <f>'Instellings'!$B$2+-3</f>
        <v/>
      </c>
      <c r="G18" s="4">
        <f>F18-E18+1</f>
        <v/>
      </c>
      <c r="H18" s="4" t="inlineStr">
        <is>
          <t>Nie begin</t>
        </is>
      </c>
      <c r="I18" s="7" t="n">
        <v>0</v>
      </c>
      <c r="J18" s="4" t="inlineStr">
        <is>
          <t>Medium</t>
        </is>
      </c>
      <c r="K18" s="4">
        <f>F18-TODAY()</f>
        <v/>
      </c>
      <c r="L18" s="4">
        <f>IF(AND(H18&lt;&gt;"Voltooi",F18&lt;TODAY()),"Ja","Nee")</f>
        <v/>
      </c>
      <c r="M18" s="4" t="inlineStr">
        <is>
          <t>T14</t>
        </is>
      </c>
      <c r="N18" s="4" t="inlineStr">
        <is>
          <t>Begin met Wiskunde, Tale en Kodering.</t>
        </is>
      </c>
    </row>
    <row r="19">
      <c r="A19" s="4" t="inlineStr">
        <is>
          <t>T17</t>
        </is>
      </c>
      <c r="B19" s="4" t="inlineStr">
        <is>
          <t>Inhoud</t>
        </is>
      </c>
      <c r="C19" s="4" t="inlineStr">
        <is>
          <t>Laai Meetkunde prente en diagramme</t>
        </is>
      </c>
      <c r="D19" s="4" t="inlineStr">
        <is>
          <t>Onderwyser</t>
        </is>
      </c>
      <c r="E19" s="5">
        <f>'Instellings'!$B$2+-6</f>
        <v/>
      </c>
      <c r="F19" s="5">
        <f>'Instellings'!$B$2+-2</f>
        <v/>
      </c>
      <c r="G19" s="4">
        <f>F19-E19+1</f>
        <v/>
      </c>
      <c r="H19" s="4" t="inlineStr">
        <is>
          <t>Nie begin</t>
        </is>
      </c>
      <c r="I19" s="7" t="n">
        <v>0</v>
      </c>
      <c r="J19" s="4" t="inlineStr">
        <is>
          <t>Medium</t>
        </is>
      </c>
      <c r="K19" s="4">
        <f>F19-TODAY()</f>
        <v/>
      </c>
      <c r="L19" s="4">
        <f>IF(AND(H19&lt;&gt;"Voltooi",F19&lt;TODAY()),"Ja","Nee")</f>
        <v/>
      </c>
      <c r="M19" s="4" t="inlineStr">
        <is>
          <t>T15</t>
        </is>
      </c>
      <c r="N19" s="4" t="inlineStr">
        <is>
          <t>Kontroleer dat prente op selfone leesbaar is.</t>
        </is>
      </c>
    </row>
    <row r="20">
      <c r="A20" s="4" t="inlineStr">
        <is>
          <t>T18</t>
        </is>
      </c>
      <c r="B20" s="4" t="inlineStr">
        <is>
          <t>Toetsing</t>
        </is>
      </c>
      <c r="C20" s="4" t="inlineStr">
        <is>
          <t>Interne toets met 3 onderwysers</t>
        </is>
      </c>
      <c r="D20" s="4" t="inlineStr">
        <is>
          <t>Onderwyser</t>
        </is>
      </c>
      <c r="E20" s="5">
        <f>'Instellings'!$B$2+-4</f>
        <v/>
      </c>
      <c r="F20" s="5">
        <f>'Instellings'!$B$2+-3</f>
        <v/>
      </c>
      <c r="G20" s="4">
        <f>F20-E20+1</f>
        <v/>
      </c>
      <c r="H20" s="4" t="inlineStr">
        <is>
          <t>Nie begin</t>
        </is>
      </c>
      <c r="I20" s="7" t="n">
        <v>0</v>
      </c>
      <c r="J20" s="4" t="inlineStr">
        <is>
          <t>Hoog</t>
        </is>
      </c>
      <c r="K20" s="4">
        <f>F20-TODAY()</f>
        <v/>
      </c>
      <c r="L20" s="4">
        <f>IF(AND(H20&lt;&gt;"Voltooi",F20&lt;TODAY()),"Ja","Nee")</f>
        <v/>
      </c>
      <c r="M20" s="4" t="inlineStr">
        <is>
          <t>T13</t>
        </is>
      </c>
      <c r="N20" s="4" t="inlineStr">
        <is>
          <t>Onderwyser login, vraagbank, dashboard.</t>
        </is>
      </c>
    </row>
    <row r="21">
      <c r="A21" s="4" t="inlineStr">
        <is>
          <t>T19</t>
        </is>
      </c>
      <c r="B21" s="4" t="inlineStr">
        <is>
          <t>Toetsing</t>
        </is>
      </c>
      <c r="C21" s="4" t="inlineStr">
        <is>
          <t>Toets met 5 Graad 8 leerders</t>
        </is>
      </c>
      <c r="D21" s="4" t="inlineStr">
        <is>
          <t>Projekleier</t>
        </is>
      </c>
      <c r="E21" s="5">
        <f>'Instellings'!$B$2+-3</f>
        <v/>
      </c>
      <c r="F21" s="5">
        <f>'Instellings'!$B$2+-2</f>
        <v/>
      </c>
      <c r="G21" s="4">
        <f>F21-E21+1</f>
        <v/>
      </c>
      <c r="H21" s="4" t="inlineStr">
        <is>
          <t>Nie begin</t>
        </is>
      </c>
      <c r="I21" s="7" t="n">
        <v>0</v>
      </c>
      <c r="J21" s="4" t="inlineStr">
        <is>
          <t>Hoog</t>
        </is>
      </c>
      <c r="K21" s="4">
        <f>F21-TODAY()</f>
        <v/>
      </c>
      <c r="L21" s="4">
        <f>IF(AND(H21&lt;&gt;"Voltooi",F21&lt;TODAY()),"Ja","Nee")</f>
        <v/>
      </c>
      <c r="M21" s="4" t="inlineStr">
        <is>
          <t>T18</t>
        </is>
      </c>
      <c r="N21" s="4" t="inlineStr">
        <is>
          <t>Fokus op selfoon en skoolnetwerk.</t>
        </is>
      </c>
    </row>
    <row r="22">
      <c r="A22" s="4" t="inlineStr">
        <is>
          <t>T20</t>
        </is>
      </c>
      <c r="B22" s="4" t="inlineStr">
        <is>
          <t>Toetsing</t>
        </is>
      </c>
      <c r="C22" s="4" t="inlineStr">
        <is>
          <t>Toets met 5 Graad 9 leerders</t>
        </is>
      </c>
      <c r="D22" s="4" t="inlineStr">
        <is>
          <t>Projekleier</t>
        </is>
      </c>
      <c r="E22" s="5">
        <f>'Instellings'!$B$2+-3</f>
        <v/>
      </c>
      <c r="F22" s="5">
        <f>'Instellings'!$B$2+-2</f>
        <v/>
      </c>
      <c r="G22" s="4">
        <f>F22-E22+1</f>
        <v/>
      </c>
      <c r="H22" s="4" t="inlineStr">
        <is>
          <t>Nie begin</t>
        </is>
      </c>
      <c r="I22" s="7" t="n">
        <v>0</v>
      </c>
      <c r="J22" s="4" t="inlineStr">
        <is>
          <t>Hoog</t>
        </is>
      </c>
      <c r="K22" s="4">
        <f>F22-TODAY()</f>
        <v/>
      </c>
      <c r="L22" s="4">
        <f>IF(AND(H22&lt;&gt;"Voltooi",F22&lt;TODAY()),"Ja","Nee")</f>
        <v/>
      </c>
      <c r="M22" s="4" t="inlineStr">
        <is>
          <t>T18</t>
        </is>
      </c>
      <c r="N22" s="4" t="inlineStr">
        <is>
          <t>Fokus op login, spoed en vrae.</t>
        </is>
      </c>
    </row>
    <row r="23">
      <c r="A23" s="4" t="inlineStr">
        <is>
          <t>T21</t>
        </is>
      </c>
      <c r="B23" s="4" t="inlineStr">
        <is>
          <t>Kommunikasie</t>
        </is>
      </c>
      <c r="C23" s="4" t="inlineStr">
        <is>
          <t>Maak kort leerder-instruksie</t>
        </is>
      </c>
      <c r="D23" s="4" t="inlineStr">
        <is>
          <t>Marketing</t>
        </is>
      </c>
      <c r="E23" s="5">
        <f>'Instellings'!$B$2+-3</f>
        <v/>
      </c>
      <c r="F23" s="5">
        <f>'Instellings'!$B$2+-1</f>
        <v/>
      </c>
      <c r="G23" s="4">
        <f>F23-E23+1</f>
        <v/>
      </c>
      <c r="H23" s="4" t="inlineStr">
        <is>
          <t>Nie begin</t>
        </is>
      </c>
      <c r="I23" s="7" t="n">
        <v>0</v>
      </c>
      <c r="J23" s="4" t="inlineStr">
        <is>
          <t>Medium</t>
        </is>
      </c>
      <c r="K23" s="4">
        <f>F23-TODAY()</f>
        <v/>
      </c>
      <c r="L23" s="4">
        <f>IF(AND(H23&lt;&gt;"Voltooi",F23&lt;TODAY()),"Ja","Nee")</f>
        <v/>
      </c>
      <c r="M23" s="4" t="inlineStr">
        <is>
          <t>T19</t>
        </is>
      </c>
      <c r="N23" s="4" t="inlineStr">
        <is>
          <t>Een bladsy of WhatsApp-boodskap.</t>
        </is>
      </c>
    </row>
    <row r="24">
      <c r="A24" s="4" t="inlineStr">
        <is>
          <t>T22</t>
        </is>
      </c>
      <c r="B24" s="4" t="inlineStr">
        <is>
          <t>Kommunikasie</t>
        </is>
      </c>
      <c r="C24" s="4" t="inlineStr">
        <is>
          <t>Maak onderwyser soft launch instruksie</t>
        </is>
      </c>
      <c r="D24" s="4" t="inlineStr">
        <is>
          <t>Projekleier</t>
        </is>
      </c>
      <c r="E24" s="5">
        <f>'Instellings'!$B$2+-3</f>
        <v/>
      </c>
      <c r="F24" s="5">
        <f>'Instellings'!$B$2+-1</f>
        <v/>
      </c>
      <c r="G24" s="4">
        <f>F24-E24+1</f>
        <v/>
      </c>
      <c r="H24" s="4" t="inlineStr">
        <is>
          <t>Nie begin</t>
        </is>
      </c>
      <c r="I24" s="7" t="n">
        <v>0</v>
      </c>
      <c r="J24" s="4" t="inlineStr">
        <is>
          <t>Medium</t>
        </is>
      </c>
      <c r="K24" s="4">
        <f>F24-TODAY()</f>
        <v/>
      </c>
      <c r="L24" s="4">
        <f>IF(AND(H24&lt;&gt;"Voltooi",F24&lt;TODAY()),"Ja","Nee")</f>
        <v/>
      </c>
      <c r="M24" s="4" t="inlineStr">
        <is>
          <t>T18</t>
        </is>
      </c>
      <c r="N24" s="4" t="inlineStr">
        <is>
          <t>Wie om te kontak as iets breek.</t>
        </is>
      </c>
    </row>
    <row r="25">
      <c r="A25" s="4" t="inlineStr">
        <is>
          <t>T23</t>
        </is>
      </c>
      <c r="B25" s="4" t="inlineStr">
        <is>
          <t>Go No Go</t>
        </is>
      </c>
      <c r="C25" s="4" t="inlineStr">
        <is>
          <t>Doen finale go no go vergadering</t>
        </is>
      </c>
      <c r="D25" s="4" t="inlineStr">
        <is>
          <t>SGB</t>
        </is>
      </c>
      <c r="E25" s="5">
        <f>'Instellings'!$B$2+-1</f>
        <v/>
      </c>
      <c r="F25" s="5">
        <f>'Instellings'!$B$2+-1</f>
        <v/>
      </c>
      <c r="G25" s="4">
        <f>F25-E25+1</f>
        <v/>
      </c>
      <c r="H25" s="4" t="inlineStr">
        <is>
          <t>Nie begin</t>
        </is>
      </c>
      <c r="I25" s="7" t="n">
        <v>0</v>
      </c>
      <c r="J25" s="4" t="inlineStr">
        <is>
          <t>Hoog</t>
        </is>
      </c>
      <c r="K25" s="4">
        <f>F25-TODAY()</f>
        <v/>
      </c>
      <c r="L25" s="4">
        <f>IF(AND(H25&lt;&gt;"Voltooi",F25&lt;TODAY()),"Ja","Nee")</f>
        <v/>
      </c>
      <c r="M25" s="4" t="inlineStr">
        <is>
          <t>T20</t>
        </is>
      </c>
      <c r="N25" s="4" t="inlineStr">
        <is>
          <t>Besluit of soft launch oopmaak.</t>
        </is>
      </c>
    </row>
    <row r="26">
      <c r="A26" s="4" t="inlineStr">
        <is>
          <t>T24</t>
        </is>
      </c>
      <c r="B26" s="4" t="inlineStr">
        <is>
          <t>Launch</t>
        </is>
      </c>
      <c r="C26" s="4" t="inlineStr">
        <is>
          <t>Soft launch vir Graad 8 en 9</t>
        </is>
      </c>
      <c r="D26" s="4" t="inlineStr">
        <is>
          <t>Projekleier</t>
        </is>
      </c>
      <c r="E26" s="5">
        <f>'Instellings'!$B$2+0</f>
        <v/>
      </c>
      <c r="F26" s="5">
        <f>'Instellings'!$B$2+0</f>
        <v/>
      </c>
      <c r="G26" s="4">
        <f>F26-E26+1</f>
        <v/>
      </c>
      <c r="H26" s="4" t="inlineStr">
        <is>
          <t>Nie begin</t>
        </is>
      </c>
      <c r="I26" s="7" t="n">
        <v>0</v>
      </c>
      <c r="J26" s="4" t="inlineStr">
        <is>
          <t>Hoog</t>
        </is>
      </c>
      <c r="K26" s="4">
        <f>F26-TODAY()</f>
        <v/>
      </c>
      <c r="L26" s="4">
        <f>IF(AND(H26&lt;&gt;"Voltooi",F26&lt;TODAY()),"Ja","Nee")</f>
        <v/>
      </c>
      <c r="M26" s="4" t="inlineStr">
        <is>
          <t>T23</t>
        </is>
      </c>
      <c r="N26" s="4" t="inlineStr">
        <is>
          <t>Begin klein en monitor.</t>
        </is>
      </c>
    </row>
    <row r="27">
      <c r="A27" s="4" t="inlineStr">
        <is>
          <t>T25</t>
        </is>
      </c>
      <c r="B27" s="4" t="inlineStr">
        <is>
          <t>Monitering</t>
        </is>
      </c>
      <c r="C27" s="4" t="inlineStr">
        <is>
          <t>Monitor eerste dag se foute en spoed</t>
        </is>
      </c>
      <c r="D27" s="4" t="inlineStr">
        <is>
          <t>Projekleier</t>
        </is>
      </c>
      <c r="E27" s="5">
        <f>'Instellings'!$B$2+0</f>
        <v/>
      </c>
      <c r="F27" s="5">
        <f>'Instellings'!$B$2+1</f>
        <v/>
      </c>
      <c r="G27" s="4">
        <f>F27-E27+1</f>
        <v/>
      </c>
      <c r="H27" s="4" t="inlineStr">
        <is>
          <t>Nie begin</t>
        </is>
      </c>
      <c r="I27" s="7" t="n">
        <v>0</v>
      </c>
      <c r="J27" s="4" t="inlineStr">
        <is>
          <t>Hoog</t>
        </is>
      </c>
      <c r="K27" s="4">
        <f>F27-TODAY()</f>
        <v/>
      </c>
      <c r="L27" s="4">
        <f>IF(AND(H27&lt;&gt;"Voltooi",F27&lt;TODAY()),"Ja","Nee")</f>
        <v/>
      </c>
      <c r="M27" s="4" t="inlineStr">
        <is>
          <t>T24</t>
        </is>
      </c>
      <c r="N27" s="4" t="inlineStr">
        <is>
          <t>Hou screenshots/logs van foute.</t>
        </is>
      </c>
    </row>
    <row r="28">
      <c r="A28" s="4" t="inlineStr">
        <is>
          <t>T26</t>
        </is>
      </c>
      <c r="B28" s="4" t="inlineStr">
        <is>
          <t>Monitering</t>
        </is>
      </c>
      <c r="C28" s="4" t="inlineStr">
        <is>
          <t>Kyk Azure koste na eerste week</t>
        </is>
      </c>
      <c r="D28" s="4" t="inlineStr">
        <is>
          <t>Azure Admin</t>
        </is>
      </c>
      <c r="E28" s="5">
        <f>'Instellings'!$B$2+5</f>
        <v/>
      </c>
      <c r="F28" s="5">
        <f>'Instellings'!$B$2+7</f>
        <v/>
      </c>
      <c r="G28" s="4">
        <f>F28-E28+1</f>
        <v/>
      </c>
      <c r="H28" s="4" t="inlineStr">
        <is>
          <t>Nie begin</t>
        </is>
      </c>
      <c r="I28" s="7" t="n">
        <v>0</v>
      </c>
      <c r="J28" s="4" t="inlineStr">
        <is>
          <t>Hoog</t>
        </is>
      </c>
      <c r="K28" s="4">
        <f>F28-TODAY()</f>
        <v/>
      </c>
      <c r="L28" s="4">
        <f>IF(AND(H28&lt;&gt;"Voltooi",F28&lt;TODAY()),"Ja","Nee")</f>
        <v/>
      </c>
      <c r="M28" s="4" t="inlineStr">
        <is>
          <t>T24</t>
        </is>
      </c>
      <c r="N28" s="4" t="inlineStr">
        <is>
          <t>Vergelyk teen R1 500 begroting.</t>
        </is>
      </c>
    </row>
    <row r="29">
      <c r="A29" s="4" t="inlineStr">
        <is>
          <t>T27</t>
        </is>
      </c>
      <c r="B29" s="4" t="inlineStr">
        <is>
          <t>Monitering</t>
        </is>
      </c>
      <c r="C29" s="4" t="inlineStr">
        <is>
          <t>Versamel terugvoer van leerders</t>
        </is>
      </c>
      <c r="D29" s="4" t="inlineStr">
        <is>
          <t>Onderwyser</t>
        </is>
      </c>
      <c r="E29" s="5">
        <f>'Instellings'!$B$2+5</f>
        <v/>
      </c>
      <c r="F29" s="5">
        <f>'Instellings'!$B$2+10</f>
        <v/>
      </c>
      <c r="G29" s="4">
        <f>F29-E29+1</f>
        <v/>
      </c>
      <c r="H29" s="4" t="inlineStr">
        <is>
          <t>Nie begin</t>
        </is>
      </c>
      <c r="I29" s="7" t="n">
        <v>0</v>
      </c>
      <c r="J29" s="4" t="inlineStr">
        <is>
          <t>Medium</t>
        </is>
      </c>
      <c r="K29" s="4">
        <f>F29-TODAY()</f>
        <v/>
      </c>
      <c r="L29" s="4">
        <f>IF(AND(H29&lt;&gt;"Voltooi",F29&lt;TODAY()),"Ja","Nee")</f>
        <v/>
      </c>
      <c r="M29" s="4" t="inlineStr">
        <is>
          <t>T24</t>
        </is>
      </c>
      <c r="N29" s="4" t="inlineStr">
        <is>
          <t>Wat is moeilik, stadig of onduidelik.</t>
        </is>
      </c>
    </row>
    <row r="30">
      <c r="A30" s="4" t="inlineStr">
        <is>
          <t>T28</t>
        </is>
      </c>
      <c r="B30" s="4" t="inlineStr">
        <is>
          <t>Monitering</t>
        </is>
      </c>
      <c r="C30" s="4" t="inlineStr">
        <is>
          <t>Besluit oor uitbreiding na meer grade</t>
        </is>
      </c>
      <c r="D30" s="4" t="inlineStr">
        <is>
          <t>SGB</t>
        </is>
      </c>
      <c r="E30" s="5">
        <f>'Instellings'!$B$2+14</f>
        <v/>
      </c>
      <c r="F30" s="5">
        <f>'Instellings'!$B$2+18</f>
        <v/>
      </c>
      <c r="G30" s="4">
        <f>F30-E30+1</f>
        <v/>
      </c>
      <c r="H30" s="4" t="inlineStr">
        <is>
          <t>Nie begin</t>
        </is>
      </c>
      <c r="I30" s="7" t="n">
        <v>0</v>
      </c>
      <c r="J30" s="4" t="inlineStr">
        <is>
          <t>Medium</t>
        </is>
      </c>
      <c r="K30" s="4">
        <f>F30-TODAY()</f>
        <v/>
      </c>
      <c r="L30" s="4">
        <f>IF(AND(H30&lt;&gt;"Voltooi",F30&lt;TODAY()),"Ja","Nee")</f>
        <v/>
      </c>
      <c r="M30" s="4" t="inlineStr">
        <is>
          <t>T26</t>
        </is>
      </c>
      <c r="N30" s="4" t="inlineStr">
        <is>
          <t>Gebruik data en kostes vir besluit.</t>
        </is>
      </c>
    </row>
  </sheetData>
  <autoFilter ref="A2:N30"/>
  <mergeCells count="1">
    <mergeCell ref="A1:N1"/>
  </mergeCells>
  <conditionalFormatting sqref="H3:H30">
    <cfRule type="cellIs" priority="1" operator="equal" dxfId="0">
      <formula>"Voltooi"</formula>
    </cfRule>
    <cfRule type="cellIs" priority="2" operator="equal" dxfId="2">
      <formula>"Risiko"</formula>
    </cfRule>
    <cfRule type="cellIs" priority="3" operator="equal" dxfId="1">
      <formula>"Wag op iemand"</formula>
    </cfRule>
  </conditionalFormatting>
  <conditionalFormatting sqref="L3:L30">
    <cfRule type="cellIs" priority="4" operator="equal" dxfId="2">
      <formula>"Ja"</formula>
    </cfRule>
  </conditionalFormatting>
  <dataValidations count="3">
    <dataValidation sqref="H3:H30" showDropDown="0" showInputMessage="0" showErrorMessage="0" allowBlank="0" type="list">
      <formula1>"Nie begin,Besig,Wag op iemand,Voltooi,Risiko"</formula1>
    </dataValidation>
    <dataValidation sqref="J3:J30" showDropDown="0" showInputMessage="0" showErrorMessage="0" allowBlank="0" type="list">
      <formula1>"Hoog,Medium,Laag"</formula1>
    </dataValidation>
    <dataValidation sqref="I3:I3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2" customWidth="1" min="3" max="3"/>
    <col width="13" customWidth="1" min="4" max="4"/>
    <col width="13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Dinamiese Tydlyn</t>
        </is>
      </c>
    </row>
    <row r="2">
      <c r="A2" s="3" t="inlineStr">
        <is>
          <t>ID</t>
        </is>
      </c>
      <c r="B2" s="3" t="inlineStr">
        <is>
          <t>Fase</t>
        </is>
      </c>
      <c r="C2" s="3" t="inlineStr">
        <is>
          <t>Taak</t>
        </is>
      </c>
      <c r="D2" s="3" t="inlineStr">
        <is>
          <t>Begin</t>
        </is>
      </c>
      <c r="E2" s="3" t="inlineStr">
        <is>
          <t>Einde</t>
        </is>
      </c>
      <c r="F2" s="3" t="inlineStr">
        <is>
          <t>Status</t>
        </is>
      </c>
      <c r="G2" s="11" t="n">
        <v>46272</v>
      </c>
      <c r="H2" s="11" t="n">
        <v>46279</v>
      </c>
      <c r="I2" s="11" t="n">
        <v>46286</v>
      </c>
      <c r="J2" s="11" t="n">
        <v>46293</v>
      </c>
      <c r="K2" s="11" t="n">
        <v>46300</v>
      </c>
      <c r="L2" s="11" t="n">
        <v>46307</v>
      </c>
      <c r="M2" s="11" t="n">
        <v>46314</v>
      </c>
      <c r="N2" s="11" t="n">
        <v>46321</v>
      </c>
      <c r="O2" s="11" t="n">
        <v>46328</v>
      </c>
      <c r="P2" s="11" t="n">
        <v>46335</v>
      </c>
      <c r="Q2" s="11" t="n">
        <v>46342</v>
      </c>
      <c r="R2" s="11" t="n">
        <v>46349</v>
      </c>
      <c r="S2" s="11" t="n">
        <v>46356</v>
      </c>
      <c r="T2" s="11" t="n">
        <v>46363</v>
      </c>
      <c r="U2" s="11" t="n">
        <v>46370</v>
      </c>
      <c r="V2" s="11" t="n">
        <v>46377</v>
      </c>
      <c r="W2" s="11" t="n">
        <v>46384</v>
      </c>
      <c r="X2" s="11" t="n">
        <v>46391</v>
      </c>
    </row>
    <row r="3">
      <c r="A3" s="4">
        <f>Taaklys!A3</f>
        <v/>
      </c>
      <c r="B3" s="4">
        <f>Taaklys!B3</f>
        <v/>
      </c>
      <c r="C3" s="4">
        <f>Taaklys!C3</f>
        <v/>
      </c>
      <c r="D3" s="5">
        <f>Taaklys!E3</f>
        <v/>
      </c>
      <c r="E3" s="5">
        <f>Taaklys!F3</f>
        <v/>
      </c>
      <c r="F3" s="4">
        <f>Taaklys!H3</f>
        <v/>
      </c>
      <c r="G3" s="4">
        <f>IF(AND(G$2&gt;=$D3,G$2&lt;=$E3),"","")</f>
        <v/>
      </c>
      <c r="H3" s="4">
        <f>IF(AND(H$2&gt;=$D3,H$2&lt;=$E3),"","")</f>
        <v/>
      </c>
      <c r="I3" s="4">
        <f>IF(AND(I$2&gt;=$D3,I$2&lt;=$E3),"","")</f>
        <v/>
      </c>
      <c r="J3" s="4">
        <f>IF(AND(J$2&gt;=$D3,J$2&lt;=$E3),"","")</f>
        <v/>
      </c>
      <c r="K3" s="4">
        <f>IF(AND(K$2&gt;=$D3,K$2&lt;=$E3),"","")</f>
        <v/>
      </c>
      <c r="L3" s="4">
        <f>IF(AND(L$2&gt;=$D3,L$2&lt;=$E3),"","")</f>
        <v/>
      </c>
      <c r="M3" s="4">
        <f>IF(AND(M$2&gt;=$D3,M$2&lt;=$E3),"","")</f>
        <v/>
      </c>
      <c r="N3" s="4">
        <f>IF(AND(N$2&gt;=$D3,N$2&lt;=$E3),"","")</f>
        <v/>
      </c>
      <c r="O3" s="4">
        <f>IF(AND(O$2&gt;=$D3,O$2&lt;=$E3),"","")</f>
        <v/>
      </c>
      <c r="P3" s="4">
        <f>IF(AND(P$2&gt;=$D3,P$2&lt;=$E3),"","")</f>
        <v/>
      </c>
      <c r="Q3" s="4">
        <f>IF(AND(Q$2&gt;=$D3,Q$2&lt;=$E3),"","")</f>
        <v/>
      </c>
      <c r="R3" s="4">
        <f>IF(AND(R$2&gt;=$D3,R$2&lt;=$E3),"","")</f>
        <v/>
      </c>
      <c r="S3" s="4">
        <f>IF(AND(S$2&gt;=$D3,S$2&lt;=$E3),"","")</f>
        <v/>
      </c>
      <c r="T3" s="4">
        <f>IF(AND(T$2&gt;=$D3,T$2&lt;=$E3),"","")</f>
        <v/>
      </c>
      <c r="U3" s="4">
        <f>IF(AND(U$2&gt;=$D3,U$2&lt;=$E3),"","")</f>
        <v/>
      </c>
      <c r="V3" s="4">
        <f>IF(AND(V$2&gt;=$D3,V$2&lt;=$E3),"","")</f>
        <v/>
      </c>
      <c r="W3" s="4">
        <f>IF(AND(W$2&gt;=$D3,W$2&lt;=$E3),"","")</f>
        <v/>
      </c>
      <c r="X3" s="4">
        <f>IF(AND(X$2&gt;=$D3,X$2&lt;=$E3),"","")</f>
        <v/>
      </c>
    </row>
    <row r="4">
      <c r="A4" s="4">
        <f>Taaklys!A4</f>
        <v/>
      </c>
      <c r="B4" s="4">
        <f>Taaklys!B4</f>
        <v/>
      </c>
      <c r="C4" s="4">
        <f>Taaklys!C4</f>
        <v/>
      </c>
      <c r="D4" s="5">
        <f>Taaklys!E4</f>
        <v/>
      </c>
      <c r="E4" s="5">
        <f>Taaklys!F4</f>
        <v/>
      </c>
      <c r="F4" s="4">
        <f>Taaklys!H4</f>
        <v/>
      </c>
      <c r="G4" s="4">
        <f>IF(AND(G$2&gt;=$D4,G$2&lt;=$E4),"","")</f>
        <v/>
      </c>
      <c r="H4" s="4">
        <f>IF(AND(H$2&gt;=$D4,H$2&lt;=$E4),"","")</f>
        <v/>
      </c>
      <c r="I4" s="4">
        <f>IF(AND(I$2&gt;=$D4,I$2&lt;=$E4),"","")</f>
        <v/>
      </c>
      <c r="J4" s="4">
        <f>IF(AND(J$2&gt;=$D4,J$2&lt;=$E4),"","")</f>
        <v/>
      </c>
      <c r="K4" s="4">
        <f>IF(AND(K$2&gt;=$D4,K$2&lt;=$E4),"","")</f>
        <v/>
      </c>
      <c r="L4" s="4">
        <f>IF(AND(L$2&gt;=$D4,L$2&lt;=$E4),"","")</f>
        <v/>
      </c>
      <c r="M4" s="4">
        <f>IF(AND(M$2&gt;=$D4,M$2&lt;=$E4),"","")</f>
        <v/>
      </c>
      <c r="N4" s="4">
        <f>IF(AND(N$2&gt;=$D4,N$2&lt;=$E4),"","")</f>
        <v/>
      </c>
      <c r="O4" s="4">
        <f>IF(AND(O$2&gt;=$D4,O$2&lt;=$E4),"","")</f>
        <v/>
      </c>
      <c r="P4" s="4">
        <f>IF(AND(P$2&gt;=$D4,P$2&lt;=$E4),"","")</f>
        <v/>
      </c>
      <c r="Q4" s="4">
        <f>IF(AND(Q$2&gt;=$D4,Q$2&lt;=$E4),"","")</f>
        <v/>
      </c>
      <c r="R4" s="4">
        <f>IF(AND(R$2&gt;=$D4,R$2&lt;=$E4),"","")</f>
        <v/>
      </c>
      <c r="S4" s="4">
        <f>IF(AND(S$2&gt;=$D4,S$2&lt;=$E4),"","")</f>
        <v/>
      </c>
      <c r="T4" s="4">
        <f>IF(AND(T$2&gt;=$D4,T$2&lt;=$E4),"","")</f>
        <v/>
      </c>
      <c r="U4" s="4">
        <f>IF(AND(U$2&gt;=$D4,U$2&lt;=$E4),"","")</f>
        <v/>
      </c>
      <c r="V4" s="4">
        <f>IF(AND(V$2&gt;=$D4,V$2&lt;=$E4),"","")</f>
        <v/>
      </c>
      <c r="W4" s="4">
        <f>IF(AND(W$2&gt;=$D4,W$2&lt;=$E4),"","")</f>
        <v/>
      </c>
      <c r="X4" s="4">
        <f>IF(AND(X$2&gt;=$D4,X$2&lt;=$E4),"","")</f>
        <v/>
      </c>
    </row>
    <row r="5">
      <c r="A5" s="4">
        <f>Taaklys!A5</f>
        <v/>
      </c>
      <c r="B5" s="4">
        <f>Taaklys!B5</f>
        <v/>
      </c>
      <c r="C5" s="4">
        <f>Taaklys!C5</f>
        <v/>
      </c>
      <c r="D5" s="5">
        <f>Taaklys!E5</f>
        <v/>
      </c>
      <c r="E5" s="5">
        <f>Taaklys!F5</f>
        <v/>
      </c>
      <c r="F5" s="4">
        <f>Taaklys!H5</f>
        <v/>
      </c>
      <c r="G5" s="4">
        <f>IF(AND(G$2&gt;=$D5,G$2&lt;=$E5),"","")</f>
        <v/>
      </c>
      <c r="H5" s="4">
        <f>IF(AND(H$2&gt;=$D5,H$2&lt;=$E5),"","")</f>
        <v/>
      </c>
      <c r="I5" s="4">
        <f>IF(AND(I$2&gt;=$D5,I$2&lt;=$E5),"","")</f>
        <v/>
      </c>
      <c r="J5" s="4">
        <f>IF(AND(J$2&gt;=$D5,J$2&lt;=$E5),"","")</f>
        <v/>
      </c>
      <c r="K5" s="4">
        <f>IF(AND(K$2&gt;=$D5,K$2&lt;=$E5),"","")</f>
        <v/>
      </c>
      <c r="L5" s="4">
        <f>IF(AND(L$2&gt;=$D5,L$2&lt;=$E5),"","")</f>
        <v/>
      </c>
      <c r="M5" s="4">
        <f>IF(AND(M$2&gt;=$D5,M$2&lt;=$E5),"","")</f>
        <v/>
      </c>
      <c r="N5" s="4">
        <f>IF(AND(N$2&gt;=$D5,N$2&lt;=$E5),"","")</f>
        <v/>
      </c>
      <c r="O5" s="4">
        <f>IF(AND(O$2&gt;=$D5,O$2&lt;=$E5),"","")</f>
        <v/>
      </c>
      <c r="P5" s="4">
        <f>IF(AND(P$2&gt;=$D5,P$2&lt;=$E5),"","")</f>
        <v/>
      </c>
      <c r="Q5" s="4">
        <f>IF(AND(Q$2&gt;=$D5,Q$2&lt;=$E5),"","")</f>
        <v/>
      </c>
      <c r="R5" s="4">
        <f>IF(AND(R$2&gt;=$D5,R$2&lt;=$E5),"","")</f>
        <v/>
      </c>
      <c r="S5" s="4">
        <f>IF(AND(S$2&gt;=$D5,S$2&lt;=$E5),"","")</f>
        <v/>
      </c>
      <c r="T5" s="4">
        <f>IF(AND(T$2&gt;=$D5,T$2&lt;=$E5),"","")</f>
        <v/>
      </c>
      <c r="U5" s="4">
        <f>IF(AND(U$2&gt;=$D5,U$2&lt;=$E5),"","")</f>
        <v/>
      </c>
      <c r="V5" s="4">
        <f>IF(AND(V$2&gt;=$D5,V$2&lt;=$E5),"","")</f>
        <v/>
      </c>
      <c r="W5" s="4">
        <f>IF(AND(W$2&gt;=$D5,W$2&lt;=$E5),"","")</f>
        <v/>
      </c>
      <c r="X5" s="4">
        <f>IF(AND(X$2&gt;=$D5,X$2&lt;=$E5),"","")</f>
        <v/>
      </c>
    </row>
    <row r="6">
      <c r="A6" s="4">
        <f>Taaklys!A6</f>
        <v/>
      </c>
      <c r="B6" s="4">
        <f>Taaklys!B6</f>
        <v/>
      </c>
      <c r="C6" s="4">
        <f>Taaklys!C6</f>
        <v/>
      </c>
      <c r="D6" s="5">
        <f>Taaklys!E6</f>
        <v/>
      </c>
      <c r="E6" s="5">
        <f>Taaklys!F6</f>
        <v/>
      </c>
      <c r="F6" s="4">
        <f>Taaklys!H6</f>
        <v/>
      </c>
      <c r="G6" s="4">
        <f>IF(AND(G$2&gt;=$D6,G$2&lt;=$E6),"","")</f>
        <v/>
      </c>
      <c r="H6" s="4">
        <f>IF(AND(H$2&gt;=$D6,H$2&lt;=$E6),"","")</f>
        <v/>
      </c>
      <c r="I6" s="4">
        <f>IF(AND(I$2&gt;=$D6,I$2&lt;=$E6),"","")</f>
        <v/>
      </c>
      <c r="J6" s="4">
        <f>IF(AND(J$2&gt;=$D6,J$2&lt;=$E6),"","")</f>
        <v/>
      </c>
      <c r="K6" s="4">
        <f>IF(AND(K$2&gt;=$D6,K$2&lt;=$E6),"","")</f>
        <v/>
      </c>
      <c r="L6" s="4">
        <f>IF(AND(L$2&gt;=$D6,L$2&lt;=$E6),"","")</f>
        <v/>
      </c>
      <c r="M6" s="4">
        <f>IF(AND(M$2&gt;=$D6,M$2&lt;=$E6),"","")</f>
        <v/>
      </c>
      <c r="N6" s="4">
        <f>IF(AND(N$2&gt;=$D6,N$2&lt;=$E6),"","")</f>
        <v/>
      </c>
      <c r="O6" s="4">
        <f>IF(AND(O$2&gt;=$D6,O$2&lt;=$E6),"","")</f>
        <v/>
      </c>
      <c r="P6" s="4">
        <f>IF(AND(P$2&gt;=$D6,P$2&lt;=$E6),"","")</f>
        <v/>
      </c>
      <c r="Q6" s="4">
        <f>IF(AND(Q$2&gt;=$D6,Q$2&lt;=$E6),"","")</f>
        <v/>
      </c>
      <c r="R6" s="4">
        <f>IF(AND(R$2&gt;=$D6,R$2&lt;=$E6),"","")</f>
        <v/>
      </c>
      <c r="S6" s="4">
        <f>IF(AND(S$2&gt;=$D6,S$2&lt;=$E6),"","")</f>
        <v/>
      </c>
      <c r="T6" s="4">
        <f>IF(AND(T$2&gt;=$D6,T$2&lt;=$E6),"","")</f>
        <v/>
      </c>
      <c r="U6" s="4">
        <f>IF(AND(U$2&gt;=$D6,U$2&lt;=$E6),"","")</f>
        <v/>
      </c>
      <c r="V6" s="4">
        <f>IF(AND(V$2&gt;=$D6,V$2&lt;=$E6),"","")</f>
        <v/>
      </c>
      <c r="W6" s="4">
        <f>IF(AND(W$2&gt;=$D6,W$2&lt;=$E6),"","")</f>
        <v/>
      </c>
      <c r="X6" s="4">
        <f>IF(AND(X$2&gt;=$D6,X$2&lt;=$E6),"","")</f>
        <v/>
      </c>
    </row>
    <row r="7">
      <c r="A7" s="4">
        <f>Taaklys!A7</f>
        <v/>
      </c>
      <c r="B7" s="4">
        <f>Taaklys!B7</f>
        <v/>
      </c>
      <c r="C7" s="4">
        <f>Taaklys!C7</f>
        <v/>
      </c>
      <c r="D7" s="5">
        <f>Taaklys!E7</f>
        <v/>
      </c>
      <c r="E7" s="5">
        <f>Taaklys!F7</f>
        <v/>
      </c>
      <c r="F7" s="4">
        <f>Taaklys!H7</f>
        <v/>
      </c>
      <c r="G7" s="4">
        <f>IF(AND(G$2&gt;=$D7,G$2&lt;=$E7),"","")</f>
        <v/>
      </c>
      <c r="H7" s="4">
        <f>IF(AND(H$2&gt;=$D7,H$2&lt;=$E7),"","")</f>
        <v/>
      </c>
      <c r="I7" s="4">
        <f>IF(AND(I$2&gt;=$D7,I$2&lt;=$E7),"","")</f>
        <v/>
      </c>
      <c r="J7" s="4">
        <f>IF(AND(J$2&gt;=$D7,J$2&lt;=$E7),"","")</f>
        <v/>
      </c>
      <c r="K7" s="4">
        <f>IF(AND(K$2&gt;=$D7,K$2&lt;=$E7),"","")</f>
        <v/>
      </c>
      <c r="L7" s="4">
        <f>IF(AND(L$2&gt;=$D7,L$2&lt;=$E7),"","")</f>
        <v/>
      </c>
      <c r="M7" s="4">
        <f>IF(AND(M$2&gt;=$D7,M$2&lt;=$E7),"","")</f>
        <v/>
      </c>
      <c r="N7" s="4">
        <f>IF(AND(N$2&gt;=$D7,N$2&lt;=$E7),"","")</f>
        <v/>
      </c>
      <c r="O7" s="4">
        <f>IF(AND(O$2&gt;=$D7,O$2&lt;=$E7),"","")</f>
        <v/>
      </c>
      <c r="P7" s="4">
        <f>IF(AND(P$2&gt;=$D7,P$2&lt;=$E7),"","")</f>
        <v/>
      </c>
      <c r="Q7" s="4">
        <f>IF(AND(Q$2&gt;=$D7,Q$2&lt;=$E7),"","")</f>
        <v/>
      </c>
      <c r="R7" s="4">
        <f>IF(AND(R$2&gt;=$D7,R$2&lt;=$E7),"","")</f>
        <v/>
      </c>
      <c r="S7" s="4">
        <f>IF(AND(S$2&gt;=$D7,S$2&lt;=$E7),"","")</f>
        <v/>
      </c>
      <c r="T7" s="4">
        <f>IF(AND(T$2&gt;=$D7,T$2&lt;=$E7),"","")</f>
        <v/>
      </c>
      <c r="U7" s="4">
        <f>IF(AND(U$2&gt;=$D7,U$2&lt;=$E7),"","")</f>
        <v/>
      </c>
      <c r="V7" s="4">
        <f>IF(AND(V$2&gt;=$D7,V$2&lt;=$E7),"","")</f>
        <v/>
      </c>
      <c r="W7" s="4">
        <f>IF(AND(W$2&gt;=$D7,W$2&lt;=$E7),"","")</f>
        <v/>
      </c>
      <c r="X7" s="4">
        <f>IF(AND(X$2&gt;=$D7,X$2&lt;=$E7),"","")</f>
        <v/>
      </c>
    </row>
    <row r="8">
      <c r="A8" s="4">
        <f>Taaklys!A8</f>
        <v/>
      </c>
      <c r="B8" s="4">
        <f>Taaklys!B8</f>
        <v/>
      </c>
      <c r="C8" s="4">
        <f>Taaklys!C8</f>
        <v/>
      </c>
      <c r="D8" s="5">
        <f>Taaklys!E8</f>
        <v/>
      </c>
      <c r="E8" s="5">
        <f>Taaklys!F8</f>
        <v/>
      </c>
      <c r="F8" s="4">
        <f>Taaklys!H8</f>
        <v/>
      </c>
      <c r="G8" s="4">
        <f>IF(AND(G$2&gt;=$D8,G$2&lt;=$E8),"","")</f>
        <v/>
      </c>
      <c r="H8" s="4">
        <f>IF(AND(H$2&gt;=$D8,H$2&lt;=$E8),"","")</f>
        <v/>
      </c>
      <c r="I8" s="4">
        <f>IF(AND(I$2&gt;=$D8,I$2&lt;=$E8),"","")</f>
        <v/>
      </c>
      <c r="J8" s="4">
        <f>IF(AND(J$2&gt;=$D8,J$2&lt;=$E8),"","")</f>
        <v/>
      </c>
      <c r="K8" s="4">
        <f>IF(AND(K$2&gt;=$D8,K$2&lt;=$E8),"","")</f>
        <v/>
      </c>
      <c r="L8" s="4">
        <f>IF(AND(L$2&gt;=$D8,L$2&lt;=$E8),"","")</f>
        <v/>
      </c>
      <c r="M8" s="4">
        <f>IF(AND(M$2&gt;=$D8,M$2&lt;=$E8),"","")</f>
        <v/>
      </c>
      <c r="N8" s="4">
        <f>IF(AND(N$2&gt;=$D8,N$2&lt;=$E8),"","")</f>
        <v/>
      </c>
      <c r="O8" s="4">
        <f>IF(AND(O$2&gt;=$D8,O$2&lt;=$E8),"","")</f>
        <v/>
      </c>
      <c r="P8" s="4">
        <f>IF(AND(P$2&gt;=$D8,P$2&lt;=$E8),"","")</f>
        <v/>
      </c>
      <c r="Q8" s="4">
        <f>IF(AND(Q$2&gt;=$D8,Q$2&lt;=$E8),"","")</f>
        <v/>
      </c>
      <c r="R8" s="4">
        <f>IF(AND(R$2&gt;=$D8,R$2&lt;=$E8),"","")</f>
        <v/>
      </c>
      <c r="S8" s="4">
        <f>IF(AND(S$2&gt;=$D8,S$2&lt;=$E8),"","")</f>
        <v/>
      </c>
      <c r="T8" s="4">
        <f>IF(AND(T$2&gt;=$D8,T$2&lt;=$E8),"","")</f>
        <v/>
      </c>
      <c r="U8" s="4">
        <f>IF(AND(U$2&gt;=$D8,U$2&lt;=$E8),"","")</f>
        <v/>
      </c>
      <c r="V8" s="4">
        <f>IF(AND(V$2&gt;=$D8,V$2&lt;=$E8),"","")</f>
        <v/>
      </c>
      <c r="W8" s="4">
        <f>IF(AND(W$2&gt;=$D8,W$2&lt;=$E8),"","")</f>
        <v/>
      </c>
      <c r="X8" s="4">
        <f>IF(AND(X$2&gt;=$D8,X$2&lt;=$E8),"","")</f>
        <v/>
      </c>
    </row>
    <row r="9">
      <c r="A9" s="4">
        <f>Taaklys!A9</f>
        <v/>
      </c>
      <c r="B9" s="4">
        <f>Taaklys!B9</f>
        <v/>
      </c>
      <c r="C9" s="4">
        <f>Taaklys!C9</f>
        <v/>
      </c>
      <c r="D9" s="5">
        <f>Taaklys!E9</f>
        <v/>
      </c>
      <c r="E9" s="5">
        <f>Taaklys!F9</f>
        <v/>
      </c>
      <c r="F9" s="4">
        <f>Taaklys!H9</f>
        <v/>
      </c>
      <c r="G9" s="4">
        <f>IF(AND(G$2&gt;=$D9,G$2&lt;=$E9),"","")</f>
        <v/>
      </c>
      <c r="H9" s="4">
        <f>IF(AND(H$2&gt;=$D9,H$2&lt;=$E9),"","")</f>
        <v/>
      </c>
      <c r="I9" s="4">
        <f>IF(AND(I$2&gt;=$D9,I$2&lt;=$E9),"","")</f>
        <v/>
      </c>
      <c r="J9" s="4">
        <f>IF(AND(J$2&gt;=$D9,J$2&lt;=$E9),"","")</f>
        <v/>
      </c>
      <c r="K9" s="4">
        <f>IF(AND(K$2&gt;=$D9,K$2&lt;=$E9),"","")</f>
        <v/>
      </c>
      <c r="L9" s="4">
        <f>IF(AND(L$2&gt;=$D9,L$2&lt;=$E9),"","")</f>
        <v/>
      </c>
      <c r="M9" s="4">
        <f>IF(AND(M$2&gt;=$D9,M$2&lt;=$E9),"","")</f>
        <v/>
      </c>
      <c r="N9" s="4">
        <f>IF(AND(N$2&gt;=$D9,N$2&lt;=$E9),"","")</f>
        <v/>
      </c>
      <c r="O9" s="4">
        <f>IF(AND(O$2&gt;=$D9,O$2&lt;=$E9),"","")</f>
        <v/>
      </c>
      <c r="P9" s="4">
        <f>IF(AND(P$2&gt;=$D9,P$2&lt;=$E9),"","")</f>
        <v/>
      </c>
      <c r="Q9" s="4">
        <f>IF(AND(Q$2&gt;=$D9,Q$2&lt;=$E9),"","")</f>
        <v/>
      </c>
      <c r="R9" s="4">
        <f>IF(AND(R$2&gt;=$D9,R$2&lt;=$E9),"","")</f>
        <v/>
      </c>
      <c r="S9" s="4">
        <f>IF(AND(S$2&gt;=$D9,S$2&lt;=$E9),"","")</f>
        <v/>
      </c>
      <c r="T9" s="4">
        <f>IF(AND(T$2&gt;=$D9,T$2&lt;=$E9),"","")</f>
        <v/>
      </c>
      <c r="U9" s="4">
        <f>IF(AND(U$2&gt;=$D9,U$2&lt;=$E9),"","")</f>
        <v/>
      </c>
      <c r="V9" s="4">
        <f>IF(AND(V$2&gt;=$D9,V$2&lt;=$E9),"","")</f>
        <v/>
      </c>
      <c r="W9" s="4">
        <f>IF(AND(W$2&gt;=$D9,W$2&lt;=$E9),"","")</f>
        <v/>
      </c>
      <c r="X9" s="4">
        <f>IF(AND(X$2&gt;=$D9,X$2&lt;=$E9),"","")</f>
        <v/>
      </c>
    </row>
    <row r="10">
      <c r="A10" s="4">
        <f>Taaklys!A10</f>
        <v/>
      </c>
      <c r="B10" s="4">
        <f>Taaklys!B10</f>
        <v/>
      </c>
      <c r="C10" s="4">
        <f>Taaklys!C10</f>
        <v/>
      </c>
      <c r="D10" s="5">
        <f>Taaklys!E10</f>
        <v/>
      </c>
      <c r="E10" s="5">
        <f>Taaklys!F10</f>
        <v/>
      </c>
      <c r="F10" s="4">
        <f>Taaklys!H10</f>
        <v/>
      </c>
      <c r="G10" s="4">
        <f>IF(AND(G$2&gt;=$D10,G$2&lt;=$E10),"","")</f>
        <v/>
      </c>
      <c r="H10" s="4">
        <f>IF(AND(H$2&gt;=$D10,H$2&lt;=$E10),"","")</f>
        <v/>
      </c>
      <c r="I10" s="4">
        <f>IF(AND(I$2&gt;=$D10,I$2&lt;=$E10),"","")</f>
        <v/>
      </c>
      <c r="J10" s="4">
        <f>IF(AND(J$2&gt;=$D10,J$2&lt;=$E10),"","")</f>
        <v/>
      </c>
      <c r="K10" s="4">
        <f>IF(AND(K$2&gt;=$D10,K$2&lt;=$E10),"","")</f>
        <v/>
      </c>
      <c r="L10" s="4">
        <f>IF(AND(L$2&gt;=$D10,L$2&lt;=$E10),"","")</f>
        <v/>
      </c>
      <c r="M10" s="4">
        <f>IF(AND(M$2&gt;=$D10,M$2&lt;=$E10),"","")</f>
        <v/>
      </c>
      <c r="N10" s="4">
        <f>IF(AND(N$2&gt;=$D10,N$2&lt;=$E10),"","")</f>
        <v/>
      </c>
      <c r="O10" s="4">
        <f>IF(AND(O$2&gt;=$D10,O$2&lt;=$E10),"","")</f>
        <v/>
      </c>
      <c r="P10" s="4">
        <f>IF(AND(P$2&gt;=$D10,P$2&lt;=$E10),"","")</f>
        <v/>
      </c>
      <c r="Q10" s="4">
        <f>IF(AND(Q$2&gt;=$D10,Q$2&lt;=$E10),"","")</f>
        <v/>
      </c>
      <c r="R10" s="4">
        <f>IF(AND(R$2&gt;=$D10,R$2&lt;=$E10),"","")</f>
        <v/>
      </c>
      <c r="S10" s="4">
        <f>IF(AND(S$2&gt;=$D10,S$2&lt;=$E10),"","")</f>
        <v/>
      </c>
      <c r="T10" s="4">
        <f>IF(AND(T$2&gt;=$D10,T$2&lt;=$E10),"","")</f>
        <v/>
      </c>
      <c r="U10" s="4">
        <f>IF(AND(U$2&gt;=$D10,U$2&lt;=$E10),"","")</f>
        <v/>
      </c>
      <c r="V10" s="4">
        <f>IF(AND(V$2&gt;=$D10,V$2&lt;=$E10),"","")</f>
        <v/>
      </c>
      <c r="W10" s="4">
        <f>IF(AND(W$2&gt;=$D10,W$2&lt;=$E10),"","")</f>
        <v/>
      </c>
      <c r="X10" s="4">
        <f>IF(AND(X$2&gt;=$D10,X$2&lt;=$E10),"","")</f>
        <v/>
      </c>
    </row>
    <row r="11">
      <c r="A11" s="4">
        <f>Taaklys!A11</f>
        <v/>
      </c>
      <c r="B11" s="4">
        <f>Taaklys!B11</f>
        <v/>
      </c>
      <c r="C11" s="4">
        <f>Taaklys!C11</f>
        <v/>
      </c>
      <c r="D11" s="5">
        <f>Taaklys!E11</f>
        <v/>
      </c>
      <c r="E11" s="5">
        <f>Taaklys!F11</f>
        <v/>
      </c>
      <c r="F11" s="4">
        <f>Taaklys!H11</f>
        <v/>
      </c>
      <c r="G11" s="4">
        <f>IF(AND(G$2&gt;=$D11,G$2&lt;=$E11),"","")</f>
        <v/>
      </c>
      <c r="H11" s="4">
        <f>IF(AND(H$2&gt;=$D11,H$2&lt;=$E11),"","")</f>
        <v/>
      </c>
      <c r="I11" s="4">
        <f>IF(AND(I$2&gt;=$D11,I$2&lt;=$E11),"","")</f>
        <v/>
      </c>
      <c r="J11" s="4">
        <f>IF(AND(J$2&gt;=$D11,J$2&lt;=$E11),"","")</f>
        <v/>
      </c>
      <c r="K11" s="4">
        <f>IF(AND(K$2&gt;=$D11,K$2&lt;=$E11),"","")</f>
        <v/>
      </c>
      <c r="L11" s="4">
        <f>IF(AND(L$2&gt;=$D11,L$2&lt;=$E11),"","")</f>
        <v/>
      </c>
      <c r="M11" s="4">
        <f>IF(AND(M$2&gt;=$D11,M$2&lt;=$E11),"","")</f>
        <v/>
      </c>
      <c r="N11" s="4">
        <f>IF(AND(N$2&gt;=$D11,N$2&lt;=$E11),"","")</f>
        <v/>
      </c>
      <c r="O11" s="4">
        <f>IF(AND(O$2&gt;=$D11,O$2&lt;=$E11),"","")</f>
        <v/>
      </c>
      <c r="P11" s="4">
        <f>IF(AND(P$2&gt;=$D11,P$2&lt;=$E11),"","")</f>
        <v/>
      </c>
      <c r="Q11" s="4">
        <f>IF(AND(Q$2&gt;=$D11,Q$2&lt;=$E11),"","")</f>
        <v/>
      </c>
      <c r="R11" s="4">
        <f>IF(AND(R$2&gt;=$D11,R$2&lt;=$E11),"","")</f>
        <v/>
      </c>
      <c r="S11" s="4">
        <f>IF(AND(S$2&gt;=$D11,S$2&lt;=$E11),"","")</f>
        <v/>
      </c>
      <c r="T11" s="4">
        <f>IF(AND(T$2&gt;=$D11,T$2&lt;=$E11),"","")</f>
        <v/>
      </c>
      <c r="U11" s="4">
        <f>IF(AND(U$2&gt;=$D11,U$2&lt;=$E11),"","")</f>
        <v/>
      </c>
      <c r="V11" s="4">
        <f>IF(AND(V$2&gt;=$D11,V$2&lt;=$E11),"","")</f>
        <v/>
      </c>
      <c r="W11" s="4">
        <f>IF(AND(W$2&gt;=$D11,W$2&lt;=$E11),"","")</f>
        <v/>
      </c>
      <c r="X11" s="4">
        <f>IF(AND(X$2&gt;=$D11,X$2&lt;=$E11),"","")</f>
        <v/>
      </c>
    </row>
    <row r="12">
      <c r="A12" s="4">
        <f>Taaklys!A12</f>
        <v/>
      </c>
      <c r="B12" s="4">
        <f>Taaklys!B12</f>
        <v/>
      </c>
      <c r="C12" s="4">
        <f>Taaklys!C12</f>
        <v/>
      </c>
      <c r="D12" s="5">
        <f>Taaklys!E12</f>
        <v/>
      </c>
      <c r="E12" s="5">
        <f>Taaklys!F12</f>
        <v/>
      </c>
      <c r="F12" s="4">
        <f>Taaklys!H12</f>
        <v/>
      </c>
      <c r="G12" s="4">
        <f>IF(AND(G$2&gt;=$D12,G$2&lt;=$E12),"","")</f>
        <v/>
      </c>
      <c r="H12" s="4">
        <f>IF(AND(H$2&gt;=$D12,H$2&lt;=$E12),"","")</f>
        <v/>
      </c>
      <c r="I12" s="4">
        <f>IF(AND(I$2&gt;=$D12,I$2&lt;=$E12),"","")</f>
        <v/>
      </c>
      <c r="J12" s="4">
        <f>IF(AND(J$2&gt;=$D12,J$2&lt;=$E12),"","")</f>
        <v/>
      </c>
      <c r="K12" s="4">
        <f>IF(AND(K$2&gt;=$D12,K$2&lt;=$E12),"","")</f>
        <v/>
      </c>
      <c r="L12" s="4">
        <f>IF(AND(L$2&gt;=$D12,L$2&lt;=$E12),"","")</f>
        <v/>
      </c>
      <c r="M12" s="4">
        <f>IF(AND(M$2&gt;=$D12,M$2&lt;=$E12),"","")</f>
        <v/>
      </c>
      <c r="N12" s="4">
        <f>IF(AND(N$2&gt;=$D12,N$2&lt;=$E12),"","")</f>
        <v/>
      </c>
      <c r="O12" s="4">
        <f>IF(AND(O$2&gt;=$D12,O$2&lt;=$E12),"","")</f>
        <v/>
      </c>
      <c r="P12" s="4">
        <f>IF(AND(P$2&gt;=$D12,P$2&lt;=$E12),"","")</f>
        <v/>
      </c>
      <c r="Q12" s="4">
        <f>IF(AND(Q$2&gt;=$D12,Q$2&lt;=$E12),"","")</f>
        <v/>
      </c>
      <c r="R12" s="4">
        <f>IF(AND(R$2&gt;=$D12,R$2&lt;=$E12),"","")</f>
        <v/>
      </c>
      <c r="S12" s="4">
        <f>IF(AND(S$2&gt;=$D12,S$2&lt;=$E12),"","")</f>
        <v/>
      </c>
      <c r="T12" s="4">
        <f>IF(AND(T$2&gt;=$D12,T$2&lt;=$E12),"","")</f>
        <v/>
      </c>
      <c r="U12" s="4">
        <f>IF(AND(U$2&gt;=$D12,U$2&lt;=$E12),"","")</f>
        <v/>
      </c>
      <c r="V12" s="4">
        <f>IF(AND(V$2&gt;=$D12,V$2&lt;=$E12),"","")</f>
        <v/>
      </c>
      <c r="W12" s="4">
        <f>IF(AND(W$2&gt;=$D12,W$2&lt;=$E12),"","")</f>
        <v/>
      </c>
      <c r="X12" s="4">
        <f>IF(AND(X$2&gt;=$D12,X$2&lt;=$E12),"","")</f>
        <v/>
      </c>
    </row>
    <row r="13">
      <c r="A13" s="4">
        <f>Taaklys!A13</f>
        <v/>
      </c>
      <c r="B13" s="4">
        <f>Taaklys!B13</f>
        <v/>
      </c>
      <c r="C13" s="4">
        <f>Taaklys!C13</f>
        <v/>
      </c>
      <c r="D13" s="5">
        <f>Taaklys!E13</f>
        <v/>
      </c>
      <c r="E13" s="5">
        <f>Taaklys!F13</f>
        <v/>
      </c>
      <c r="F13" s="4">
        <f>Taaklys!H13</f>
        <v/>
      </c>
      <c r="G13" s="4">
        <f>IF(AND(G$2&gt;=$D13,G$2&lt;=$E13),"","")</f>
        <v/>
      </c>
      <c r="H13" s="4">
        <f>IF(AND(H$2&gt;=$D13,H$2&lt;=$E13),"","")</f>
        <v/>
      </c>
      <c r="I13" s="4">
        <f>IF(AND(I$2&gt;=$D13,I$2&lt;=$E13),"","")</f>
        <v/>
      </c>
      <c r="J13" s="4">
        <f>IF(AND(J$2&gt;=$D13,J$2&lt;=$E13),"","")</f>
        <v/>
      </c>
      <c r="K13" s="4">
        <f>IF(AND(K$2&gt;=$D13,K$2&lt;=$E13),"","")</f>
        <v/>
      </c>
      <c r="L13" s="4">
        <f>IF(AND(L$2&gt;=$D13,L$2&lt;=$E13),"","")</f>
        <v/>
      </c>
      <c r="M13" s="4">
        <f>IF(AND(M$2&gt;=$D13,M$2&lt;=$E13),"","")</f>
        <v/>
      </c>
      <c r="N13" s="4">
        <f>IF(AND(N$2&gt;=$D13,N$2&lt;=$E13),"","")</f>
        <v/>
      </c>
      <c r="O13" s="4">
        <f>IF(AND(O$2&gt;=$D13,O$2&lt;=$E13),"","")</f>
        <v/>
      </c>
      <c r="P13" s="4">
        <f>IF(AND(P$2&gt;=$D13,P$2&lt;=$E13),"","")</f>
        <v/>
      </c>
      <c r="Q13" s="4">
        <f>IF(AND(Q$2&gt;=$D13,Q$2&lt;=$E13),"","")</f>
        <v/>
      </c>
      <c r="R13" s="4">
        <f>IF(AND(R$2&gt;=$D13,R$2&lt;=$E13),"","")</f>
        <v/>
      </c>
      <c r="S13" s="4">
        <f>IF(AND(S$2&gt;=$D13,S$2&lt;=$E13),"","")</f>
        <v/>
      </c>
      <c r="T13" s="4">
        <f>IF(AND(T$2&gt;=$D13,T$2&lt;=$E13),"","")</f>
        <v/>
      </c>
      <c r="U13" s="4">
        <f>IF(AND(U$2&gt;=$D13,U$2&lt;=$E13),"","")</f>
        <v/>
      </c>
      <c r="V13" s="4">
        <f>IF(AND(V$2&gt;=$D13,V$2&lt;=$E13),"","")</f>
        <v/>
      </c>
      <c r="W13" s="4">
        <f>IF(AND(W$2&gt;=$D13,W$2&lt;=$E13),"","")</f>
        <v/>
      </c>
      <c r="X13" s="4">
        <f>IF(AND(X$2&gt;=$D13,X$2&lt;=$E13),"","")</f>
        <v/>
      </c>
    </row>
    <row r="14">
      <c r="A14" s="4">
        <f>Taaklys!A14</f>
        <v/>
      </c>
      <c r="B14" s="4">
        <f>Taaklys!B14</f>
        <v/>
      </c>
      <c r="C14" s="4">
        <f>Taaklys!C14</f>
        <v/>
      </c>
      <c r="D14" s="5">
        <f>Taaklys!E14</f>
        <v/>
      </c>
      <c r="E14" s="5">
        <f>Taaklys!F14</f>
        <v/>
      </c>
      <c r="F14" s="4">
        <f>Taaklys!H14</f>
        <v/>
      </c>
      <c r="G14" s="4">
        <f>IF(AND(G$2&gt;=$D14,G$2&lt;=$E14),"","")</f>
        <v/>
      </c>
      <c r="H14" s="4">
        <f>IF(AND(H$2&gt;=$D14,H$2&lt;=$E14),"","")</f>
        <v/>
      </c>
      <c r="I14" s="4">
        <f>IF(AND(I$2&gt;=$D14,I$2&lt;=$E14),"","")</f>
        <v/>
      </c>
      <c r="J14" s="4">
        <f>IF(AND(J$2&gt;=$D14,J$2&lt;=$E14),"","")</f>
        <v/>
      </c>
      <c r="K14" s="4">
        <f>IF(AND(K$2&gt;=$D14,K$2&lt;=$E14),"","")</f>
        <v/>
      </c>
      <c r="L14" s="4">
        <f>IF(AND(L$2&gt;=$D14,L$2&lt;=$E14),"","")</f>
        <v/>
      </c>
      <c r="M14" s="4">
        <f>IF(AND(M$2&gt;=$D14,M$2&lt;=$E14),"","")</f>
        <v/>
      </c>
      <c r="N14" s="4">
        <f>IF(AND(N$2&gt;=$D14,N$2&lt;=$E14),"","")</f>
        <v/>
      </c>
      <c r="O14" s="4">
        <f>IF(AND(O$2&gt;=$D14,O$2&lt;=$E14),"","")</f>
        <v/>
      </c>
      <c r="P14" s="4">
        <f>IF(AND(P$2&gt;=$D14,P$2&lt;=$E14),"","")</f>
        <v/>
      </c>
      <c r="Q14" s="4">
        <f>IF(AND(Q$2&gt;=$D14,Q$2&lt;=$E14),"","")</f>
        <v/>
      </c>
      <c r="R14" s="4">
        <f>IF(AND(R$2&gt;=$D14,R$2&lt;=$E14),"","")</f>
        <v/>
      </c>
      <c r="S14" s="4">
        <f>IF(AND(S$2&gt;=$D14,S$2&lt;=$E14),"","")</f>
        <v/>
      </c>
      <c r="T14" s="4">
        <f>IF(AND(T$2&gt;=$D14,T$2&lt;=$E14),"","")</f>
        <v/>
      </c>
      <c r="U14" s="4">
        <f>IF(AND(U$2&gt;=$D14,U$2&lt;=$E14),"","")</f>
        <v/>
      </c>
      <c r="V14" s="4">
        <f>IF(AND(V$2&gt;=$D14,V$2&lt;=$E14),"","")</f>
        <v/>
      </c>
      <c r="W14" s="4">
        <f>IF(AND(W$2&gt;=$D14,W$2&lt;=$E14),"","")</f>
        <v/>
      </c>
      <c r="X14" s="4">
        <f>IF(AND(X$2&gt;=$D14,X$2&lt;=$E14),"","")</f>
        <v/>
      </c>
    </row>
    <row r="15">
      <c r="A15" s="4">
        <f>Taaklys!A15</f>
        <v/>
      </c>
      <c r="B15" s="4">
        <f>Taaklys!B15</f>
        <v/>
      </c>
      <c r="C15" s="4">
        <f>Taaklys!C15</f>
        <v/>
      </c>
      <c r="D15" s="5">
        <f>Taaklys!E15</f>
        <v/>
      </c>
      <c r="E15" s="5">
        <f>Taaklys!F15</f>
        <v/>
      </c>
      <c r="F15" s="4">
        <f>Taaklys!H15</f>
        <v/>
      </c>
      <c r="G15" s="4">
        <f>IF(AND(G$2&gt;=$D15,G$2&lt;=$E15),"","")</f>
        <v/>
      </c>
      <c r="H15" s="4">
        <f>IF(AND(H$2&gt;=$D15,H$2&lt;=$E15),"","")</f>
        <v/>
      </c>
      <c r="I15" s="4">
        <f>IF(AND(I$2&gt;=$D15,I$2&lt;=$E15),"","")</f>
        <v/>
      </c>
      <c r="J15" s="4">
        <f>IF(AND(J$2&gt;=$D15,J$2&lt;=$E15),"","")</f>
        <v/>
      </c>
      <c r="K15" s="4">
        <f>IF(AND(K$2&gt;=$D15,K$2&lt;=$E15),"","")</f>
        <v/>
      </c>
      <c r="L15" s="4">
        <f>IF(AND(L$2&gt;=$D15,L$2&lt;=$E15),"","")</f>
        <v/>
      </c>
      <c r="M15" s="4">
        <f>IF(AND(M$2&gt;=$D15,M$2&lt;=$E15),"","")</f>
        <v/>
      </c>
      <c r="N15" s="4">
        <f>IF(AND(N$2&gt;=$D15,N$2&lt;=$E15),"","")</f>
        <v/>
      </c>
      <c r="O15" s="4">
        <f>IF(AND(O$2&gt;=$D15,O$2&lt;=$E15),"","")</f>
        <v/>
      </c>
      <c r="P15" s="4">
        <f>IF(AND(P$2&gt;=$D15,P$2&lt;=$E15),"","")</f>
        <v/>
      </c>
      <c r="Q15" s="4">
        <f>IF(AND(Q$2&gt;=$D15,Q$2&lt;=$E15),"","")</f>
        <v/>
      </c>
      <c r="R15" s="4">
        <f>IF(AND(R$2&gt;=$D15,R$2&lt;=$E15),"","")</f>
        <v/>
      </c>
      <c r="S15" s="4">
        <f>IF(AND(S$2&gt;=$D15,S$2&lt;=$E15),"","")</f>
        <v/>
      </c>
      <c r="T15" s="4">
        <f>IF(AND(T$2&gt;=$D15,T$2&lt;=$E15),"","")</f>
        <v/>
      </c>
      <c r="U15" s="4">
        <f>IF(AND(U$2&gt;=$D15,U$2&lt;=$E15),"","")</f>
        <v/>
      </c>
      <c r="V15" s="4">
        <f>IF(AND(V$2&gt;=$D15,V$2&lt;=$E15),"","")</f>
        <v/>
      </c>
      <c r="W15" s="4">
        <f>IF(AND(W$2&gt;=$D15,W$2&lt;=$E15),"","")</f>
        <v/>
      </c>
      <c r="X15" s="4">
        <f>IF(AND(X$2&gt;=$D15,X$2&lt;=$E15),"","")</f>
        <v/>
      </c>
    </row>
    <row r="16">
      <c r="A16" s="4">
        <f>Taaklys!A16</f>
        <v/>
      </c>
      <c r="B16" s="4">
        <f>Taaklys!B16</f>
        <v/>
      </c>
      <c r="C16" s="4">
        <f>Taaklys!C16</f>
        <v/>
      </c>
      <c r="D16" s="5">
        <f>Taaklys!E16</f>
        <v/>
      </c>
      <c r="E16" s="5">
        <f>Taaklys!F16</f>
        <v/>
      </c>
      <c r="F16" s="4">
        <f>Taaklys!H16</f>
        <v/>
      </c>
      <c r="G16" s="4">
        <f>IF(AND(G$2&gt;=$D16,G$2&lt;=$E16),"","")</f>
        <v/>
      </c>
      <c r="H16" s="4">
        <f>IF(AND(H$2&gt;=$D16,H$2&lt;=$E16),"","")</f>
        <v/>
      </c>
      <c r="I16" s="4">
        <f>IF(AND(I$2&gt;=$D16,I$2&lt;=$E16),"","")</f>
        <v/>
      </c>
      <c r="J16" s="4">
        <f>IF(AND(J$2&gt;=$D16,J$2&lt;=$E16),"","")</f>
        <v/>
      </c>
      <c r="K16" s="4">
        <f>IF(AND(K$2&gt;=$D16,K$2&lt;=$E16),"","")</f>
        <v/>
      </c>
      <c r="L16" s="4">
        <f>IF(AND(L$2&gt;=$D16,L$2&lt;=$E16),"","")</f>
        <v/>
      </c>
      <c r="M16" s="4">
        <f>IF(AND(M$2&gt;=$D16,M$2&lt;=$E16),"","")</f>
        <v/>
      </c>
      <c r="N16" s="4">
        <f>IF(AND(N$2&gt;=$D16,N$2&lt;=$E16),"","")</f>
        <v/>
      </c>
      <c r="O16" s="4">
        <f>IF(AND(O$2&gt;=$D16,O$2&lt;=$E16),"","")</f>
        <v/>
      </c>
      <c r="P16" s="4">
        <f>IF(AND(P$2&gt;=$D16,P$2&lt;=$E16),"","")</f>
        <v/>
      </c>
      <c r="Q16" s="4">
        <f>IF(AND(Q$2&gt;=$D16,Q$2&lt;=$E16),"","")</f>
        <v/>
      </c>
      <c r="R16" s="4">
        <f>IF(AND(R$2&gt;=$D16,R$2&lt;=$E16),"","")</f>
        <v/>
      </c>
      <c r="S16" s="4">
        <f>IF(AND(S$2&gt;=$D16,S$2&lt;=$E16),"","")</f>
        <v/>
      </c>
      <c r="T16" s="4">
        <f>IF(AND(T$2&gt;=$D16,T$2&lt;=$E16),"","")</f>
        <v/>
      </c>
      <c r="U16" s="4">
        <f>IF(AND(U$2&gt;=$D16,U$2&lt;=$E16),"","")</f>
        <v/>
      </c>
      <c r="V16" s="4">
        <f>IF(AND(V$2&gt;=$D16,V$2&lt;=$E16),"","")</f>
        <v/>
      </c>
      <c r="W16" s="4">
        <f>IF(AND(W$2&gt;=$D16,W$2&lt;=$E16),"","")</f>
        <v/>
      </c>
      <c r="X16" s="4">
        <f>IF(AND(X$2&gt;=$D16,X$2&lt;=$E16),"","")</f>
        <v/>
      </c>
    </row>
    <row r="17">
      <c r="A17" s="4">
        <f>Taaklys!A17</f>
        <v/>
      </c>
      <c r="B17" s="4">
        <f>Taaklys!B17</f>
        <v/>
      </c>
      <c r="C17" s="4">
        <f>Taaklys!C17</f>
        <v/>
      </c>
      <c r="D17" s="5">
        <f>Taaklys!E17</f>
        <v/>
      </c>
      <c r="E17" s="5">
        <f>Taaklys!F17</f>
        <v/>
      </c>
      <c r="F17" s="4">
        <f>Taaklys!H17</f>
        <v/>
      </c>
      <c r="G17" s="4">
        <f>IF(AND(G$2&gt;=$D17,G$2&lt;=$E17),"","")</f>
        <v/>
      </c>
      <c r="H17" s="4">
        <f>IF(AND(H$2&gt;=$D17,H$2&lt;=$E17),"","")</f>
        <v/>
      </c>
      <c r="I17" s="4">
        <f>IF(AND(I$2&gt;=$D17,I$2&lt;=$E17),"","")</f>
        <v/>
      </c>
      <c r="J17" s="4">
        <f>IF(AND(J$2&gt;=$D17,J$2&lt;=$E17),"","")</f>
        <v/>
      </c>
      <c r="K17" s="4">
        <f>IF(AND(K$2&gt;=$D17,K$2&lt;=$E17),"","")</f>
        <v/>
      </c>
      <c r="L17" s="4">
        <f>IF(AND(L$2&gt;=$D17,L$2&lt;=$E17),"","")</f>
        <v/>
      </c>
      <c r="M17" s="4">
        <f>IF(AND(M$2&gt;=$D17,M$2&lt;=$E17),"","")</f>
        <v/>
      </c>
      <c r="N17" s="4">
        <f>IF(AND(N$2&gt;=$D17,N$2&lt;=$E17),"","")</f>
        <v/>
      </c>
      <c r="O17" s="4">
        <f>IF(AND(O$2&gt;=$D17,O$2&lt;=$E17),"","")</f>
        <v/>
      </c>
      <c r="P17" s="4">
        <f>IF(AND(P$2&gt;=$D17,P$2&lt;=$E17),"","")</f>
        <v/>
      </c>
      <c r="Q17" s="4">
        <f>IF(AND(Q$2&gt;=$D17,Q$2&lt;=$E17),"","")</f>
        <v/>
      </c>
      <c r="R17" s="4">
        <f>IF(AND(R$2&gt;=$D17,R$2&lt;=$E17),"","")</f>
        <v/>
      </c>
      <c r="S17" s="4">
        <f>IF(AND(S$2&gt;=$D17,S$2&lt;=$E17),"","")</f>
        <v/>
      </c>
      <c r="T17" s="4">
        <f>IF(AND(T$2&gt;=$D17,T$2&lt;=$E17),"","")</f>
        <v/>
      </c>
      <c r="U17" s="4">
        <f>IF(AND(U$2&gt;=$D17,U$2&lt;=$E17),"","")</f>
        <v/>
      </c>
      <c r="V17" s="4">
        <f>IF(AND(V$2&gt;=$D17,V$2&lt;=$E17),"","")</f>
        <v/>
      </c>
      <c r="W17" s="4">
        <f>IF(AND(W$2&gt;=$D17,W$2&lt;=$E17),"","")</f>
        <v/>
      </c>
      <c r="X17" s="4">
        <f>IF(AND(X$2&gt;=$D17,X$2&lt;=$E17),"","")</f>
        <v/>
      </c>
    </row>
    <row r="18">
      <c r="A18" s="4">
        <f>Taaklys!A18</f>
        <v/>
      </c>
      <c r="B18" s="4">
        <f>Taaklys!B18</f>
        <v/>
      </c>
      <c r="C18" s="4">
        <f>Taaklys!C18</f>
        <v/>
      </c>
      <c r="D18" s="5">
        <f>Taaklys!E18</f>
        <v/>
      </c>
      <c r="E18" s="5">
        <f>Taaklys!F18</f>
        <v/>
      </c>
      <c r="F18" s="4">
        <f>Taaklys!H18</f>
        <v/>
      </c>
      <c r="G18" s="4">
        <f>IF(AND(G$2&gt;=$D18,G$2&lt;=$E18),"","")</f>
        <v/>
      </c>
      <c r="H18" s="4">
        <f>IF(AND(H$2&gt;=$D18,H$2&lt;=$E18),"","")</f>
        <v/>
      </c>
      <c r="I18" s="4">
        <f>IF(AND(I$2&gt;=$D18,I$2&lt;=$E18),"","")</f>
        <v/>
      </c>
      <c r="J18" s="4">
        <f>IF(AND(J$2&gt;=$D18,J$2&lt;=$E18),"","")</f>
        <v/>
      </c>
      <c r="K18" s="4">
        <f>IF(AND(K$2&gt;=$D18,K$2&lt;=$E18),"","")</f>
        <v/>
      </c>
      <c r="L18" s="4">
        <f>IF(AND(L$2&gt;=$D18,L$2&lt;=$E18),"","")</f>
        <v/>
      </c>
      <c r="M18" s="4">
        <f>IF(AND(M$2&gt;=$D18,M$2&lt;=$E18),"","")</f>
        <v/>
      </c>
      <c r="N18" s="4">
        <f>IF(AND(N$2&gt;=$D18,N$2&lt;=$E18),"","")</f>
        <v/>
      </c>
      <c r="O18" s="4">
        <f>IF(AND(O$2&gt;=$D18,O$2&lt;=$E18),"","")</f>
        <v/>
      </c>
      <c r="P18" s="4">
        <f>IF(AND(P$2&gt;=$D18,P$2&lt;=$E18),"","")</f>
        <v/>
      </c>
      <c r="Q18" s="4">
        <f>IF(AND(Q$2&gt;=$D18,Q$2&lt;=$E18),"","")</f>
        <v/>
      </c>
      <c r="R18" s="4">
        <f>IF(AND(R$2&gt;=$D18,R$2&lt;=$E18),"","")</f>
        <v/>
      </c>
      <c r="S18" s="4">
        <f>IF(AND(S$2&gt;=$D18,S$2&lt;=$E18),"","")</f>
        <v/>
      </c>
      <c r="T18" s="4">
        <f>IF(AND(T$2&gt;=$D18,T$2&lt;=$E18),"","")</f>
        <v/>
      </c>
      <c r="U18" s="4">
        <f>IF(AND(U$2&gt;=$D18,U$2&lt;=$E18),"","")</f>
        <v/>
      </c>
      <c r="V18" s="4">
        <f>IF(AND(V$2&gt;=$D18,V$2&lt;=$E18),"","")</f>
        <v/>
      </c>
      <c r="W18" s="4">
        <f>IF(AND(W$2&gt;=$D18,W$2&lt;=$E18),"","")</f>
        <v/>
      </c>
      <c r="X18" s="4">
        <f>IF(AND(X$2&gt;=$D18,X$2&lt;=$E18),"","")</f>
        <v/>
      </c>
    </row>
    <row r="19">
      <c r="A19" s="4">
        <f>Taaklys!A19</f>
        <v/>
      </c>
      <c r="B19" s="4">
        <f>Taaklys!B19</f>
        <v/>
      </c>
      <c r="C19" s="4">
        <f>Taaklys!C19</f>
        <v/>
      </c>
      <c r="D19" s="5">
        <f>Taaklys!E19</f>
        <v/>
      </c>
      <c r="E19" s="5">
        <f>Taaklys!F19</f>
        <v/>
      </c>
      <c r="F19" s="4">
        <f>Taaklys!H19</f>
        <v/>
      </c>
      <c r="G19" s="4">
        <f>IF(AND(G$2&gt;=$D19,G$2&lt;=$E19),"","")</f>
        <v/>
      </c>
      <c r="H19" s="4">
        <f>IF(AND(H$2&gt;=$D19,H$2&lt;=$E19),"","")</f>
        <v/>
      </c>
      <c r="I19" s="4">
        <f>IF(AND(I$2&gt;=$D19,I$2&lt;=$E19),"","")</f>
        <v/>
      </c>
      <c r="J19" s="4">
        <f>IF(AND(J$2&gt;=$D19,J$2&lt;=$E19),"","")</f>
        <v/>
      </c>
      <c r="K19" s="4">
        <f>IF(AND(K$2&gt;=$D19,K$2&lt;=$E19),"","")</f>
        <v/>
      </c>
      <c r="L19" s="4">
        <f>IF(AND(L$2&gt;=$D19,L$2&lt;=$E19),"","")</f>
        <v/>
      </c>
      <c r="M19" s="4">
        <f>IF(AND(M$2&gt;=$D19,M$2&lt;=$E19),"","")</f>
        <v/>
      </c>
      <c r="N19" s="4">
        <f>IF(AND(N$2&gt;=$D19,N$2&lt;=$E19),"","")</f>
        <v/>
      </c>
      <c r="O19" s="4">
        <f>IF(AND(O$2&gt;=$D19,O$2&lt;=$E19),"","")</f>
        <v/>
      </c>
      <c r="P19" s="4">
        <f>IF(AND(P$2&gt;=$D19,P$2&lt;=$E19),"","")</f>
        <v/>
      </c>
      <c r="Q19" s="4">
        <f>IF(AND(Q$2&gt;=$D19,Q$2&lt;=$E19),"","")</f>
        <v/>
      </c>
      <c r="R19" s="4">
        <f>IF(AND(R$2&gt;=$D19,R$2&lt;=$E19),"","")</f>
        <v/>
      </c>
      <c r="S19" s="4">
        <f>IF(AND(S$2&gt;=$D19,S$2&lt;=$E19),"","")</f>
        <v/>
      </c>
      <c r="T19" s="4">
        <f>IF(AND(T$2&gt;=$D19,T$2&lt;=$E19),"","")</f>
        <v/>
      </c>
      <c r="U19" s="4">
        <f>IF(AND(U$2&gt;=$D19,U$2&lt;=$E19),"","")</f>
        <v/>
      </c>
      <c r="V19" s="4">
        <f>IF(AND(V$2&gt;=$D19,V$2&lt;=$E19),"","")</f>
        <v/>
      </c>
      <c r="W19" s="4">
        <f>IF(AND(W$2&gt;=$D19,W$2&lt;=$E19),"","")</f>
        <v/>
      </c>
      <c r="X19" s="4">
        <f>IF(AND(X$2&gt;=$D19,X$2&lt;=$E19),"","")</f>
        <v/>
      </c>
    </row>
    <row r="20">
      <c r="A20" s="4">
        <f>Taaklys!A20</f>
        <v/>
      </c>
      <c r="B20" s="4">
        <f>Taaklys!B20</f>
        <v/>
      </c>
      <c r="C20" s="4">
        <f>Taaklys!C20</f>
        <v/>
      </c>
      <c r="D20" s="5">
        <f>Taaklys!E20</f>
        <v/>
      </c>
      <c r="E20" s="5">
        <f>Taaklys!F20</f>
        <v/>
      </c>
      <c r="F20" s="4">
        <f>Taaklys!H20</f>
        <v/>
      </c>
      <c r="G20" s="4">
        <f>IF(AND(G$2&gt;=$D20,G$2&lt;=$E20),"","")</f>
        <v/>
      </c>
      <c r="H20" s="4">
        <f>IF(AND(H$2&gt;=$D20,H$2&lt;=$E20),"","")</f>
        <v/>
      </c>
      <c r="I20" s="4">
        <f>IF(AND(I$2&gt;=$D20,I$2&lt;=$E20),"","")</f>
        <v/>
      </c>
      <c r="J20" s="4">
        <f>IF(AND(J$2&gt;=$D20,J$2&lt;=$E20),"","")</f>
        <v/>
      </c>
      <c r="K20" s="4">
        <f>IF(AND(K$2&gt;=$D20,K$2&lt;=$E20),"","")</f>
        <v/>
      </c>
      <c r="L20" s="4">
        <f>IF(AND(L$2&gt;=$D20,L$2&lt;=$E20),"","")</f>
        <v/>
      </c>
      <c r="M20" s="4">
        <f>IF(AND(M$2&gt;=$D20,M$2&lt;=$E20),"","")</f>
        <v/>
      </c>
      <c r="N20" s="4">
        <f>IF(AND(N$2&gt;=$D20,N$2&lt;=$E20),"","")</f>
        <v/>
      </c>
      <c r="O20" s="4">
        <f>IF(AND(O$2&gt;=$D20,O$2&lt;=$E20),"","")</f>
        <v/>
      </c>
      <c r="P20" s="4">
        <f>IF(AND(P$2&gt;=$D20,P$2&lt;=$E20),"","")</f>
        <v/>
      </c>
      <c r="Q20" s="4">
        <f>IF(AND(Q$2&gt;=$D20,Q$2&lt;=$E20),"","")</f>
        <v/>
      </c>
      <c r="R20" s="4">
        <f>IF(AND(R$2&gt;=$D20,R$2&lt;=$E20),"","")</f>
        <v/>
      </c>
      <c r="S20" s="4">
        <f>IF(AND(S$2&gt;=$D20,S$2&lt;=$E20),"","")</f>
        <v/>
      </c>
      <c r="T20" s="4">
        <f>IF(AND(T$2&gt;=$D20,T$2&lt;=$E20),"","")</f>
        <v/>
      </c>
      <c r="U20" s="4">
        <f>IF(AND(U$2&gt;=$D20,U$2&lt;=$E20),"","")</f>
        <v/>
      </c>
      <c r="V20" s="4">
        <f>IF(AND(V$2&gt;=$D20,V$2&lt;=$E20),"","")</f>
        <v/>
      </c>
      <c r="W20" s="4">
        <f>IF(AND(W$2&gt;=$D20,W$2&lt;=$E20),"","")</f>
        <v/>
      </c>
      <c r="X20" s="4">
        <f>IF(AND(X$2&gt;=$D20,X$2&lt;=$E20),"","")</f>
        <v/>
      </c>
    </row>
    <row r="21">
      <c r="A21" s="4">
        <f>Taaklys!A21</f>
        <v/>
      </c>
      <c r="B21" s="4">
        <f>Taaklys!B21</f>
        <v/>
      </c>
      <c r="C21" s="4">
        <f>Taaklys!C21</f>
        <v/>
      </c>
      <c r="D21" s="5">
        <f>Taaklys!E21</f>
        <v/>
      </c>
      <c r="E21" s="5">
        <f>Taaklys!F21</f>
        <v/>
      </c>
      <c r="F21" s="4">
        <f>Taaklys!H21</f>
        <v/>
      </c>
      <c r="G21" s="4">
        <f>IF(AND(G$2&gt;=$D21,G$2&lt;=$E21),"","")</f>
        <v/>
      </c>
      <c r="H21" s="4">
        <f>IF(AND(H$2&gt;=$D21,H$2&lt;=$E21),"","")</f>
        <v/>
      </c>
      <c r="I21" s="4">
        <f>IF(AND(I$2&gt;=$D21,I$2&lt;=$E21),"","")</f>
        <v/>
      </c>
      <c r="J21" s="4">
        <f>IF(AND(J$2&gt;=$D21,J$2&lt;=$E21),"","")</f>
        <v/>
      </c>
      <c r="K21" s="4">
        <f>IF(AND(K$2&gt;=$D21,K$2&lt;=$E21),"","")</f>
        <v/>
      </c>
      <c r="L21" s="4">
        <f>IF(AND(L$2&gt;=$D21,L$2&lt;=$E21),"","")</f>
        <v/>
      </c>
      <c r="M21" s="4">
        <f>IF(AND(M$2&gt;=$D21,M$2&lt;=$E21),"","")</f>
        <v/>
      </c>
      <c r="N21" s="4">
        <f>IF(AND(N$2&gt;=$D21,N$2&lt;=$E21),"","")</f>
        <v/>
      </c>
      <c r="O21" s="4">
        <f>IF(AND(O$2&gt;=$D21,O$2&lt;=$E21),"","")</f>
        <v/>
      </c>
      <c r="P21" s="4">
        <f>IF(AND(P$2&gt;=$D21,P$2&lt;=$E21),"","")</f>
        <v/>
      </c>
      <c r="Q21" s="4">
        <f>IF(AND(Q$2&gt;=$D21,Q$2&lt;=$E21),"","")</f>
        <v/>
      </c>
      <c r="R21" s="4">
        <f>IF(AND(R$2&gt;=$D21,R$2&lt;=$E21),"","")</f>
        <v/>
      </c>
      <c r="S21" s="4">
        <f>IF(AND(S$2&gt;=$D21,S$2&lt;=$E21),"","")</f>
        <v/>
      </c>
      <c r="T21" s="4">
        <f>IF(AND(T$2&gt;=$D21,T$2&lt;=$E21),"","")</f>
        <v/>
      </c>
      <c r="U21" s="4">
        <f>IF(AND(U$2&gt;=$D21,U$2&lt;=$E21),"","")</f>
        <v/>
      </c>
      <c r="V21" s="4">
        <f>IF(AND(V$2&gt;=$D21,V$2&lt;=$E21),"","")</f>
        <v/>
      </c>
      <c r="W21" s="4">
        <f>IF(AND(W$2&gt;=$D21,W$2&lt;=$E21),"","")</f>
        <v/>
      </c>
      <c r="X21" s="4">
        <f>IF(AND(X$2&gt;=$D21,X$2&lt;=$E21),"","")</f>
        <v/>
      </c>
    </row>
    <row r="22">
      <c r="A22" s="4">
        <f>Taaklys!A22</f>
        <v/>
      </c>
      <c r="B22" s="4">
        <f>Taaklys!B22</f>
        <v/>
      </c>
      <c r="C22" s="4">
        <f>Taaklys!C22</f>
        <v/>
      </c>
      <c r="D22" s="5">
        <f>Taaklys!E22</f>
        <v/>
      </c>
      <c r="E22" s="5">
        <f>Taaklys!F22</f>
        <v/>
      </c>
      <c r="F22" s="4">
        <f>Taaklys!H22</f>
        <v/>
      </c>
      <c r="G22" s="4">
        <f>IF(AND(G$2&gt;=$D22,G$2&lt;=$E22),"","")</f>
        <v/>
      </c>
      <c r="H22" s="4">
        <f>IF(AND(H$2&gt;=$D22,H$2&lt;=$E22),"","")</f>
        <v/>
      </c>
      <c r="I22" s="4">
        <f>IF(AND(I$2&gt;=$D22,I$2&lt;=$E22),"","")</f>
        <v/>
      </c>
      <c r="J22" s="4">
        <f>IF(AND(J$2&gt;=$D22,J$2&lt;=$E22),"","")</f>
        <v/>
      </c>
      <c r="K22" s="4">
        <f>IF(AND(K$2&gt;=$D22,K$2&lt;=$E22),"","")</f>
        <v/>
      </c>
      <c r="L22" s="4">
        <f>IF(AND(L$2&gt;=$D22,L$2&lt;=$E22),"","")</f>
        <v/>
      </c>
      <c r="M22" s="4">
        <f>IF(AND(M$2&gt;=$D22,M$2&lt;=$E22),"","")</f>
        <v/>
      </c>
      <c r="N22" s="4">
        <f>IF(AND(N$2&gt;=$D22,N$2&lt;=$E22),"","")</f>
        <v/>
      </c>
      <c r="O22" s="4">
        <f>IF(AND(O$2&gt;=$D22,O$2&lt;=$E22),"","")</f>
        <v/>
      </c>
      <c r="P22" s="4">
        <f>IF(AND(P$2&gt;=$D22,P$2&lt;=$E22),"","")</f>
        <v/>
      </c>
      <c r="Q22" s="4">
        <f>IF(AND(Q$2&gt;=$D22,Q$2&lt;=$E22),"","")</f>
        <v/>
      </c>
      <c r="R22" s="4">
        <f>IF(AND(R$2&gt;=$D22,R$2&lt;=$E22),"","")</f>
        <v/>
      </c>
      <c r="S22" s="4">
        <f>IF(AND(S$2&gt;=$D22,S$2&lt;=$E22),"","")</f>
        <v/>
      </c>
      <c r="T22" s="4">
        <f>IF(AND(T$2&gt;=$D22,T$2&lt;=$E22),"","")</f>
        <v/>
      </c>
      <c r="U22" s="4">
        <f>IF(AND(U$2&gt;=$D22,U$2&lt;=$E22),"","")</f>
        <v/>
      </c>
      <c r="V22" s="4">
        <f>IF(AND(V$2&gt;=$D22,V$2&lt;=$E22),"","")</f>
        <v/>
      </c>
      <c r="W22" s="4">
        <f>IF(AND(W$2&gt;=$D22,W$2&lt;=$E22),"","")</f>
        <v/>
      </c>
      <c r="X22" s="4">
        <f>IF(AND(X$2&gt;=$D22,X$2&lt;=$E22),"","")</f>
        <v/>
      </c>
    </row>
    <row r="23">
      <c r="A23" s="4">
        <f>Taaklys!A23</f>
        <v/>
      </c>
      <c r="B23" s="4">
        <f>Taaklys!B23</f>
        <v/>
      </c>
      <c r="C23" s="4">
        <f>Taaklys!C23</f>
        <v/>
      </c>
      <c r="D23" s="5">
        <f>Taaklys!E23</f>
        <v/>
      </c>
      <c r="E23" s="5">
        <f>Taaklys!F23</f>
        <v/>
      </c>
      <c r="F23" s="4">
        <f>Taaklys!H23</f>
        <v/>
      </c>
      <c r="G23" s="4">
        <f>IF(AND(G$2&gt;=$D23,G$2&lt;=$E23),"","")</f>
        <v/>
      </c>
      <c r="H23" s="4">
        <f>IF(AND(H$2&gt;=$D23,H$2&lt;=$E23),"","")</f>
        <v/>
      </c>
      <c r="I23" s="4">
        <f>IF(AND(I$2&gt;=$D23,I$2&lt;=$E23),"","")</f>
        <v/>
      </c>
      <c r="J23" s="4">
        <f>IF(AND(J$2&gt;=$D23,J$2&lt;=$E23),"","")</f>
        <v/>
      </c>
      <c r="K23" s="4">
        <f>IF(AND(K$2&gt;=$D23,K$2&lt;=$E23),"","")</f>
        <v/>
      </c>
      <c r="L23" s="4">
        <f>IF(AND(L$2&gt;=$D23,L$2&lt;=$E23),"","")</f>
        <v/>
      </c>
      <c r="M23" s="4">
        <f>IF(AND(M$2&gt;=$D23,M$2&lt;=$E23),"","")</f>
        <v/>
      </c>
      <c r="N23" s="4">
        <f>IF(AND(N$2&gt;=$D23,N$2&lt;=$E23),"","")</f>
        <v/>
      </c>
      <c r="O23" s="4">
        <f>IF(AND(O$2&gt;=$D23,O$2&lt;=$E23),"","")</f>
        <v/>
      </c>
      <c r="P23" s="4">
        <f>IF(AND(P$2&gt;=$D23,P$2&lt;=$E23),"","")</f>
        <v/>
      </c>
      <c r="Q23" s="4">
        <f>IF(AND(Q$2&gt;=$D23,Q$2&lt;=$E23),"","")</f>
        <v/>
      </c>
      <c r="R23" s="4">
        <f>IF(AND(R$2&gt;=$D23,R$2&lt;=$E23),"","")</f>
        <v/>
      </c>
      <c r="S23" s="4">
        <f>IF(AND(S$2&gt;=$D23,S$2&lt;=$E23),"","")</f>
        <v/>
      </c>
      <c r="T23" s="4">
        <f>IF(AND(T$2&gt;=$D23,T$2&lt;=$E23),"","")</f>
        <v/>
      </c>
      <c r="U23" s="4">
        <f>IF(AND(U$2&gt;=$D23,U$2&lt;=$E23),"","")</f>
        <v/>
      </c>
      <c r="V23" s="4">
        <f>IF(AND(V$2&gt;=$D23,V$2&lt;=$E23),"","")</f>
        <v/>
      </c>
      <c r="W23" s="4">
        <f>IF(AND(W$2&gt;=$D23,W$2&lt;=$E23),"","")</f>
        <v/>
      </c>
      <c r="X23" s="4">
        <f>IF(AND(X$2&gt;=$D23,X$2&lt;=$E23),"","")</f>
        <v/>
      </c>
    </row>
    <row r="24">
      <c r="A24" s="4">
        <f>Taaklys!A24</f>
        <v/>
      </c>
      <c r="B24" s="4">
        <f>Taaklys!B24</f>
        <v/>
      </c>
      <c r="C24" s="4">
        <f>Taaklys!C24</f>
        <v/>
      </c>
      <c r="D24" s="5">
        <f>Taaklys!E24</f>
        <v/>
      </c>
      <c r="E24" s="5">
        <f>Taaklys!F24</f>
        <v/>
      </c>
      <c r="F24" s="4">
        <f>Taaklys!H24</f>
        <v/>
      </c>
      <c r="G24" s="4">
        <f>IF(AND(G$2&gt;=$D24,G$2&lt;=$E24),"","")</f>
        <v/>
      </c>
      <c r="H24" s="4">
        <f>IF(AND(H$2&gt;=$D24,H$2&lt;=$E24),"","")</f>
        <v/>
      </c>
      <c r="I24" s="4">
        <f>IF(AND(I$2&gt;=$D24,I$2&lt;=$E24),"","")</f>
        <v/>
      </c>
      <c r="J24" s="4">
        <f>IF(AND(J$2&gt;=$D24,J$2&lt;=$E24),"","")</f>
        <v/>
      </c>
      <c r="K24" s="4">
        <f>IF(AND(K$2&gt;=$D24,K$2&lt;=$E24),"","")</f>
        <v/>
      </c>
      <c r="L24" s="4">
        <f>IF(AND(L$2&gt;=$D24,L$2&lt;=$E24),"","")</f>
        <v/>
      </c>
      <c r="M24" s="4">
        <f>IF(AND(M$2&gt;=$D24,M$2&lt;=$E24),"","")</f>
        <v/>
      </c>
      <c r="N24" s="4">
        <f>IF(AND(N$2&gt;=$D24,N$2&lt;=$E24),"","")</f>
        <v/>
      </c>
      <c r="O24" s="4">
        <f>IF(AND(O$2&gt;=$D24,O$2&lt;=$E24),"","")</f>
        <v/>
      </c>
      <c r="P24" s="4">
        <f>IF(AND(P$2&gt;=$D24,P$2&lt;=$E24),"","")</f>
        <v/>
      </c>
      <c r="Q24" s="4">
        <f>IF(AND(Q$2&gt;=$D24,Q$2&lt;=$E24),"","")</f>
        <v/>
      </c>
      <c r="R24" s="4">
        <f>IF(AND(R$2&gt;=$D24,R$2&lt;=$E24),"","")</f>
        <v/>
      </c>
      <c r="S24" s="4">
        <f>IF(AND(S$2&gt;=$D24,S$2&lt;=$E24),"","")</f>
        <v/>
      </c>
      <c r="T24" s="4">
        <f>IF(AND(T$2&gt;=$D24,T$2&lt;=$E24),"","")</f>
        <v/>
      </c>
      <c r="U24" s="4">
        <f>IF(AND(U$2&gt;=$D24,U$2&lt;=$E24),"","")</f>
        <v/>
      </c>
      <c r="V24" s="4">
        <f>IF(AND(V$2&gt;=$D24,V$2&lt;=$E24),"","")</f>
        <v/>
      </c>
      <c r="W24" s="4">
        <f>IF(AND(W$2&gt;=$D24,W$2&lt;=$E24),"","")</f>
        <v/>
      </c>
      <c r="X24" s="4">
        <f>IF(AND(X$2&gt;=$D24,X$2&lt;=$E24),"","")</f>
        <v/>
      </c>
    </row>
    <row r="25">
      <c r="A25" s="4">
        <f>Taaklys!A25</f>
        <v/>
      </c>
      <c r="B25" s="4">
        <f>Taaklys!B25</f>
        <v/>
      </c>
      <c r="C25" s="4">
        <f>Taaklys!C25</f>
        <v/>
      </c>
      <c r="D25" s="5">
        <f>Taaklys!E25</f>
        <v/>
      </c>
      <c r="E25" s="5">
        <f>Taaklys!F25</f>
        <v/>
      </c>
      <c r="F25" s="4">
        <f>Taaklys!H25</f>
        <v/>
      </c>
      <c r="G25" s="4">
        <f>IF(AND(G$2&gt;=$D25,G$2&lt;=$E25),"","")</f>
        <v/>
      </c>
      <c r="H25" s="4">
        <f>IF(AND(H$2&gt;=$D25,H$2&lt;=$E25),"","")</f>
        <v/>
      </c>
      <c r="I25" s="4">
        <f>IF(AND(I$2&gt;=$D25,I$2&lt;=$E25),"","")</f>
        <v/>
      </c>
      <c r="J25" s="4">
        <f>IF(AND(J$2&gt;=$D25,J$2&lt;=$E25),"","")</f>
        <v/>
      </c>
      <c r="K25" s="4">
        <f>IF(AND(K$2&gt;=$D25,K$2&lt;=$E25),"","")</f>
        <v/>
      </c>
      <c r="L25" s="4">
        <f>IF(AND(L$2&gt;=$D25,L$2&lt;=$E25),"","")</f>
        <v/>
      </c>
      <c r="M25" s="4">
        <f>IF(AND(M$2&gt;=$D25,M$2&lt;=$E25),"","")</f>
        <v/>
      </c>
      <c r="N25" s="4">
        <f>IF(AND(N$2&gt;=$D25,N$2&lt;=$E25),"","")</f>
        <v/>
      </c>
      <c r="O25" s="4">
        <f>IF(AND(O$2&gt;=$D25,O$2&lt;=$E25),"","")</f>
        <v/>
      </c>
      <c r="P25" s="4">
        <f>IF(AND(P$2&gt;=$D25,P$2&lt;=$E25),"","")</f>
        <v/>
      </c>
      <c r="Q25" s="4">
        <f>IF(AND(Q$2&gt;=$D25,Q$2&lt;=$E25),"","")</f>
        <v/>
      </c>
      <c r="R25" s="4">
        <f>IF(AND(R$2&gt;=$D25,R$2&lt;=$E25),"","")</f>
        <v/>
      </c>
      <c r="S25" s="4">
        <f>IF(AND(S$2&gt;=$D25,S$2&lt;=$E25),"","")</f>
        <v/>
      </c>
      <c r="T25" s="4">
        <f>IF(AND(T$2&gt;=$D25,T$2&lt;=$E25),"","")</f>
        <v/>
      </c>
      <c r="U25" s="4">
        <f>IF(AND(U$2&gt;=$D25,U$2&lt;=$E25),"","")</f>
        <v/>
      </c>
      <c r="V25" s="4">
        <f>IF(AND(V$2&gt;=$D25,V$2&lt;=$E25),"","")</f>
        <v/>
      </c>
      <c r="W25" s="4">
        <f>IF(AND(W$2&gt;=$D25,W$2&lt;=$E25),"","")</f>
        <v/>
      </c>
      <c r="X25" s="4">
        <f>IF(AND(X$2&gt;=$D25,X$2&lt;=$E25),"","")</f>
        <v/>
      </c>
    </row>
    <row r="26">
      <c r="A26" s="4">
        <f>Taaklys!A26</f>
        <v/>
      </c>
      <c r="B26" s="4">
        <f>Taaklys!B26</f>
        <v/>
      </c>
      <c r="C26" s="4">
        <f>Taaklys!C26</f>
        <v/>
      </c>
      <c r="D26" s="5">
        <f>Taaklys!E26</f>
        <v/>
      </c>
      <c r="E26" s="5">
        <f>Taaklys!F26</f>
        <v/>
      </c>
      <c r="F26" s="4">
        <f>Taaklys!H26</f>
        <v/>
      </c>
      <c r="G26" s="4">
        <f>IF(AND(G$2&gt;=$D26,G$2&lt;=$E26),"","")</f>
        <v/>
      </c>
      <c r="H26" s="4">
        <f>IF(AND(H$2&gt;=$D26,H$2&lt;=$E26),"","")</f>
        <v/>
      </c>
      <c r="I26" s="4">
        <f>IF(AND(I$2&gt;=$D26,I$2&lt;=$E26),"","")</f>
        <v/>
      </c>
      <c r="J26" s="4">
        <f>IF(AND(J$2&gt;=$D26,J$2&lt;=$E26),"","")</f>
        <v/>
      </c>
      <c r="K26" s="4">
        <f>IF(AND(K$2&gt;=$D26,K$2&lt;=$E26),"","")</f>
        <v/>
      </c>
      <c r="L26" s="4">
        <f>IF(AND(L$2&gt;=$D26,L$2&lt;=$E26),"","")</f>
        <v/>
      </c>
      <c r="M26" s="4">
        <f>IF(AND(M$2&gt;=$D26,M$2&lt;=$E26),"","")</f>
        <v/>
      </c>
      <c r="N26" s="4">
        <f>IF(AND(N$2&gt;=$D26,N$2&lt;=$E26),"","")</f>
        <v/>
      </c>
      <c r="O26" s="4">
        <f>IF(AND(O$2&gt;=$D26,O$2&lt;=$E26),"","")</f>
        <v/>
      </c>
      <c r="P26" s="4">
        <f>IF(AND(P$2&gt;=$D26,P$2&lt;=$E26),"","")</f>
        <v/>
      </c>
      <c r="Q26" s="4">
        <f>IF(AND(Q$2&gt;=$D26,Q$2&lt;=$E26),"","")</f>
        <v/>
      </c>
      <c r="R26" s="4">
        <f>IF(AND(R$2&gt;=$D26,R$2&lt;=$E26),"","")</f>
        <v/>
      </c>
      <c r="S26" s="4">
        <f>IF(AND(S$2&gt;=$D26,S$2&lt;=$E26),"","")</f>
        <v/>
      </c>
      <c r="T26" s="4">
        <f>IF(AND(T$2&gt;=$D26,T$2&lt;=$E26),"","")</f>
        <v/>
      </c>
      <c r="U26" s="4">
        <f>IF(AND(U$2&gt;=$D26,U$2&lt;=$E26),"","")</f>
        <v/>
      </c>
      <c r="V26" s="4">
        <f>IF(AND(V$2&gt;=$D26,V$2&lt;=$E26),"","")</f>
        <v/>
      </c>
      <c r="W26" s="4">
        <f>IF(AND(W$2&gt;=$D26,W$2&lt;=$E26),"","")</f>
        <v/>
      </c>
      <c r="X26" s="4">
        <f>IF(AND(X$2&gt;=$D26,X$2&lt;=$E26),"","")</f>
        <v/>
      </c>
    </row>
    <row r="27">
      <c r="A27" s="4">
        <f>Taaklys!A27</f>
        <v/>
      </c>
      <c r="B27" s="4">
        <f>Taaklys!B27</f>
        <v/>
      </c>
      <c r="C27" s="4">
        <f>Taaklys!C27</f>
        <v/>
      </c>
      <c r="D27" s="5">
        <f>Taaklys!E27</f>
        <v/>
      </c>
      <c r="E27" s="5">
        <f>Taaklys!F27</f>
        <v/>
      </c>
      <c r="F27" s="4">
        <f>Taaklys!H27</f>
        <v/>
      </c>
      <c r="G27" s="4">
        <f>IF(AND(G$2&gt;=$D27,G$2&lt;=$E27),"","")</f>
        <v/>
      </c>
      <c r="H27" s="4">
        <f>IF(AND(H$2&gt;=$D27,H$2&lt;=$E27),"","")</f>
        <v/>
      </c>
      <c r="I27" s="4">
        <f>IF(AND(I$2&gt;=$D27,I$2&lt;=$E27),"","")</f>
        <v/>
      </c>
      <c r="J27" s="4">
        <f>IF(AND(J$2&gt;=$D27,J$2&lt;=$E27),"","")</f>
        <v/>
      </c>
      <c r="K27" s="4">
        <f>IF(AND(K$2&gt;=$D27,K$2&lt;=$E27),"","")</f>
        <v/>
      </c>
      <c r="L27" s="4">
        <f>IF(AND(L$2&gt;=$D27,L$2&lt;=$E27),"","")</f>
        <v/>
      </c>
      <c r="M27" s="4">
        <f>IF(AND(M$2&gt;=$D27,M$2&lt;=$E27),"","")</f>
        <v/>
      </c>
      <c r="N27" s="4">
        <f>IF(AND(N$2&gt;=$D27,N$2&lt;=$E27),"","")</f>
        <v/>
      </c>
      <c r="O27" s="4">
        <f>IF(AND(O$2&gt;=$D27,O$2&lt;=$E27),"","")</f>
        <v/>
      </c>
      <c r="P27" s="4">
        <f>IF(AND(P$2&gt;=$D27,P$2&lt;=$E27),"","")</f>
        <v/>
      </c>
      <c r="Q27" s="4">
        <f>IF(AND(Q$2&gt;=$D27,Q$2&lt;=$E27),"","")</f>
        <v/>
      </c>
      <c r="R27" s="4">
        <f>IF(AND(R$2&gt;=$D27,R$2&lt;=$E27),"","")</f>
        <v/>
      </c>
      <c r="S27" s="4">
        <f>IF(AND(S$2&gt;=$D27,S$2&lt;=$E27),"","")</f>
        <v/>
      </c>
      <c r="T27" s="4">
        <f>IF(AND(T$2&gt;=$D27,T$2&lt;=$E27),"","")</f>
        <v/>
      </c>
      <c r="U27" s="4">
        <f>IF(AND(U$2&gt;=$D27,U$2&lt;=$E27),"","")</f>
        <v/>
      </c>
      <c r="V27" s="4">
        <f>IF(AND(V$2&gt;=$D27,V$2&lt;=$E27),"","")</f>
        <v/>
      </c>
      <c r="W27" s="4">
        <f>IF(AND(W$2&gt;=$D27,W$2&lt;=$E27),"","")</f>
        <v/>
      </c>
      <c r="X27" s="4">
        <f>IF(AND(X$2&gt;=$D27,X$2&lt;=$E27),"","")</f>
        <v/>
      </c>
    </row>
    <row r="28">
      <c r="A28" s="4">
        <f>Taaklys!A28</f>
        <v/>
      </c>
      <c r="B28" s="4">
        <f>Taaklys!B28</f>
        <v/>
      </c>
      <c r="C28" s="4">
        <f>Taaklys!C28</f>
        <v/>
      </c>
      <c r="D28" s="5">
        <f>Taaklys!E28</f>
        <v/>
      </c>
      <c r="E28" s="5">
        <f>Taaklys!F28</f>
        <v/>
      </c>
      <c r="F28" s="4">
        <f>Taaklys!H28</f>
        <v/>
      </c>
      <c r="G28" s="4">
        <f>IF(AND(G$2&gt;=$D28,G$2&lt;=$E28),"","")</f>
        <v/>
      </c>
      <c r="H28" s="4">
        <f>IF(AND(H$2&gt;=$D28,H$2&lt;=$E28),"","")</f>
        <v/>
      </c>
      <c r="I28" s="4">
        <f>IF(AND(I$2&gt;=$D28,I$2&lt;=$E28),"","")</f>
        <v/>
      </c>
      <c r="J28" s="4">
        <f>IF(AND(J$2&gt;=$D28,J$2&lt;=$E28),"","")</f>
        <v/>
      </c>
      <c r="K28" s="4">
        <f>IF(AND(K$2&gt;=$D28,K$2&lt;=$E28),"","")</f>
        <v/>
      </c>
      <c r="L28" s="4">
        <f>IF(AND(L$2&gt;=$D28,L$2&lt;=$E28),"","")</f>
        <v/>
      </c>
      <c r="M28" s="4">
        <f>IF(AND(M$2&gt;=$D28,M$2&lt;=$E28),"","")</f>
        <v/>
      </c>
      <c r="N28" s="4">
        <f>IF(AND(N$2&gt;=$D28,N$2&lt;=$E28),"","")</f>
        <v/>
      </c>
      <c r="O28" s="4">
        <f>IF(AND(O$2&gt;=$D28,O$2&lt;=$E28),"","")</f>
        <v/>
      </c>
      <c r="P28" s="4">
        <f>IF(AND(P$2&gt;=$D28,P$2&lt;=$E28),"","")</f>
        <v/>
      </c>
      <c r="Q28" s="4">
        <f>IF(AND(Q$2&gt;=$D28,Q$2&lt;=$E28),"","")</f>
        <v/>
      </c>
      <c r="R28" s="4">
        <f>IF(AND(R$2&gt;=$D28,R$2&lt;=$E28),"","")</f>
        <v/>
      </c>
      <c r="S28" s="4">
        <f>IF(AND(S$2&gt;=$D28,S$2&lt;=$E28),"","")</f>
        <v/>
      </c>
      <c r="T28" s="4">
        <f>IF(AND(T$2&gt;=$D28,T$2&lt;=$E28),"","")</f>
        <v/>
      </c>
      <c r="U28" s="4">
        <f>IF(AND(U$2&gt;=$D28,U$2&lt;=$E28),"","")</f>
        <v/>
      </c>
      <c r="V28" s="4">
        <f>IF(AND(V$2&gt;=$D28,V$2&lt;=$E28),"","")</f>
        <v/>
      </c>
      <c r="W28" s="4">
        <f>IF(AND(W$2&gt;=$D28,W$2&lt;=$E28),"","")</f>
        <v/>
      </c>
      <c r="X28" s="4">
        <f>IF(AND(X$2&gt;=$D28,X$2&lt;=$E28),"","")</f>
        <v/>
      </c>
    </row>
    <row r="29">
      <c r="A29" s="4">
        <f>Taaklys!A29</f>
        <v/>
      </c>
      <c r="B29" s="4">
        <f>Taaklys!B29</f>
        <v/>
      </c>
      <c r="C29" s="4">
        <f>Taaklys!C29</f>
        <v/>
      </c>
      <c r="D29" s="5">
        <f>Taaklys!E29</f>
        <v/>
      </c>
      <c r="E29" s="5">
        <f>Taaklys!F29</f>
        <v/>
      </c>
      <c r="F29" s="4">
        <f>Taaklys!H29</f>
        <v/>
      </c>
      <c r="G29" s="4">
        <f>IF(AND(G$2&gt;=$D29,G$2&lt;=$E29),"","")</f>
        <v/>
      </c>
      <c r="H29" s="4">
        <f>IF(AND(H$2&gt;=$D29,H$2&lt;=$E29),"","")</f>
        <v/>
      </c>
      <c r="I29" s="4">
        <f>IF(AND(I$2&gt;=$D29,I$2&lt;=$E29),"","")</f>
        <v/>
      </c>
      <c r="J29" s="4">
        <f>IF(AND(J$2&gt;=$D29,J$2&lt;=$E29),"","")</f>
        <v/>
      </c>
      <c r="K29" s="4">
        <f>IF(AND(K$2&gt;=$D29,K$2&lt;=$E29),"","")</f>
        <v/>
      </c>
      <c r="L29" s="4">
        <f>IF(AND(L$2&gt;=$D29,L$2&lt;=$E29),"","")</f>
        <v/>
      </c>
      <c r="M29" s="4">
        <f>IF(AND(M$2&gt;=$D29,M$2&lt;=$E29),"","")</f>
        <v/>
      </c>
      <c r="N29" s="4">
        <f>IF(AND(N$2&gt;=$D29,N$2&lt;=$E29),"","")</f>
        <v/>
      </c>
      <c r="O29" s="4">
        <f>IF(AND(O$2&gt;=$D29,O$2&lt;=$E29),"","")</f>
        <v/>
      </c>
      <c r="P29" s="4">
        <f>IF(AND(P$2&gt;=$D29,P$2&lt;=$E29),"","")</f>
        <v/>
      </c>
      <c r="Q29" s="4">
        <f>IF(AND(Q$2&gt;=$D29,Q$2&lt;=$E29),"","")</f>
        <v/>
      </c>
      <c r="R29" s="4">
        <f>IF(AND(R$2&gt;=$D29,R$2&lt;=$E29),"","")</f>
        <v/>
      </c>
      <c r="S29" s="4">
        <f>IF(AND(S$2&gt;=$D29,S$2&lt;=$E29),"","")</f>
        <v/>
      </c>
      <c r="T29" s="4">
        <f>IF(AND(T$2&gt;=$D29,T$2&lt;=$E29),"","")</f>
        <v/>
      </c>
      <c r="U29" s="4">
        <f>IF(AND(U$2&gt;=$D29,U$2&lt;=$E29),"","")</f>
        <v/>
      </c>
      <c r="V29" s="4">
        <f>IF(AND(V$2&gt;=$D29,V$2&lt;=$E29),"","")</f>
        <v/>
      </c>
      <c r="W29" s="4">
        <f>IF(AND(W$2&gt;=$D29,W$2&lt;=$E29),"","")</f>
        <v/>
      </c>
      <c r="X29" s="4">
        <f>IF(AND(X$2&gt;=$D29,X$2&lt;=$E29),"","")</f>
        <v/>
      </c>
    </row>
    <row r="30">
      <c r="A30" s="4">
        <f>Taaklys!A30</f>
        <v/>
      </c>
      <c r="B30" s="4">
        <f>Taaklys!B30</f>
        <v/>
      </c>
      <c r="C30" s="4">
        <f>Taaklys!C30</f>
        <v/>
      </c>
      <c r="D30" s="5">
        <f>Taaklys!E30</f>
        <v/>
      </c>
      <c r="E30" s="5">
        <f>Taaklys!F30</f>
        <v/>
      </c>
      <c r="F30" s="4">
        <f>Taaklys!H30</f>
        <v/>
      </c>
      <c r="G30" s="4">
        <f>IF(AND(G$2&gt;=$D30,G$2&lt;=$E30),"","")</f>
        <v/>
      </c>
      <c r="H30" s="4">
        <f>IF(AND(H$2&gt;=$D30,H$2&lt;=$E30),"","")</f>
        <v/>
      </c>
      <c r="I30" s="4">
        <f>IF(AND(I$2&gt;=$D30,I$2&lt;=$E30),"","")</f>
        <v/>
      </c>
      <c r="J30" s="4">
        <f>IF(AND(J$2&gt;=$D30,J$2&lt;=$E30),"","")</f>
        <v/>
      </c>
      <c r="K30" s="4">
        <f>IF(AND(K$2&gt;=$D30,K$2&lt;=$E30),"","")</f>
        <v/>
      </c>
      <c r="L30" s="4">
        <f>IF(AND(L$2&gt;=$D30,L$2&lt;=$E30),"","")</f>
        <v/>
      </c>
      <c r="M30" s="4">
        <f>IF(AND(M$2&gt;=$D30,M$2&lt;=$E30),"","")</f>
        <v/>
      </c>
      <c r="N30" s="4">
        <f>IF(AND(N$2&gt;=$D30,N$2&lt;=$E30),"","")</f>
        <v/>
      </c>
      <c r="O30" s="4">
        <f>IF(AND(O$2&gt;=$D30,O$2&lt;=$E30),"","")</f>
        <v/>
      </c>
      <c r="P30" s="4">
        <f>IF(AND(P$2&gt;=$D30,P$2&lt;=$E30),"","")</f>
        <v/>
      </c>
      <c r="Q30" s="4">
        <f>IF(AND(Q$2&gt;=$D30,Q$2&lt;=$E30),"","")</f>
        <v/>
      </c>
      <c r="R30" s="4">
        <f>IF(AND(R$2&gt;=$D30,R$2&lt;=$E30),"","")</f>
        <v/>
      </c>
      <c r="S30" s="4">
        <f>IF(AND(S$2&gt;=$D30,S$2&lt;=$E30),"","")</f>
        <v/>
      </c>
      <c r="T30" s="4">
        <f>IF(AND(T$2&gt;=$D30,T$2&lt;=$E30),"","")</f>
        <v/>
      </c>
      <c r="U30" s="4">
        <f>IF(AND(U$2&gt;=$D30,U$2&lt;=$E30),"","")</f>
        <v/>
      </c>
      <c r="V30" s="4">
        <f>IF(AND(V$2&gt;=$D30,V$2&lt;=$E30),"","")</f>
        <v/>
      </c>
      <c r="W30" s="4">
        <f>IF(AND(W$2&gt;=$D30,W$2&lt;=$E30),"","")</f>
        <v/>
      </c>
      <c r="X30" s="4">
        <f>IF(AND(X$2&gt;=$D30,X$2&lt;=$E30),"","")</f>
        <v/>
      </c>
    </row>
  </sheetData>
  <mergeCells count="1">
    <mergeCell ref="A1:Q1"/>
  </mergeCells>
  <conditionalFormatting sqref="G3:X30">
    <cfRule type="expression" priority="1" dxfId="0">
      <formula>AND(G$2&gt;=$D3,G$2&lt;=$E3,$F3="Voltooi")</formula>
    </cfRule>
    <cfRule type="expression" priority="2" dxfId="2">
      <formula>AND(G$2&gt;=$D3,G$2&lt;=$E3,$F3="Risiko")</formula>
    </cfRule>
    <cfRule type="expression" priority="3" dxfId="3">
      <formula>AND(G$2&gt;=$D3,G$2&lt;=$E3,$F3&lt;&gt;"Voltooi",$F3&lt;&gt;"Risiko")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8" customWidth="1" min="3" max="3"/>
    <col width="18" customWidth="1" min="5" max="5"/>
  </cols>
  <sheetData>
    <row r="1" ht="28" customHeight="1">
      <c r="A1" s="10" t="inlineStr">
        <is>
          <t>Soft Launch Instellings</t>
        </is>
      </c>
    </row>
    <row r="2">
      <c r="A2" s="3" t="inlineStr">
        <is>
          <t>Instelling</t>
        </is>
      </c>
      <c r="B2" s="12" t="inlineStr">
        <is>
          <t>Waarde</t>
        </is>
      </c>
      <c r="C2" s="3" t="inlineStr">
        <is>
          <t>Nota</t>
        </is>
      </c>
      <c r="D2" s="3" t="n"/>
    </row>
    <row r="3">
      <c r="A3" t="inlineStr">
        <is>
          <t>Beplande soft launch datum</t>
        </is>
      </c>
      <c r="B3" s="13" t="n">
        <v>46300</v>
      </c>
      <c r="C3" t="inlineStr">
        <is>
          <t>Verander hierdie datum as die skool die launch skuif.</t>
        </is>
      </c>
    </row>
    <row r="4">
      <c r="A4" t="inlineStr">
        <is>
          <t>Launch kwartaal begin</t>
        </is>
      </c>
      <c r="B4" s="13" t="n">
        <v>46296</v>
      </c>
      <c r="C4" t="inlineStr">
        <is>
          <t>Volgende kwartaal se beginpunt.</t>
        </is>
      </c>
    </row>
    <row r="5">
      <c r="A5" t="inlineStr">
        <is>
          <t>Launch kwartaal einde</t>
        </is>
      </c>
      <c r="B5" s="14" t="n">
        <v>46387</v>
      </c>
      <c r="C5" t="inlineStr">
        <is>
          <t>Einde van kwartaal 4.</t>
        </is>
      </c>
    </row>
    <row r="6">
      <c r="A6" t="inlineStr">
        <is>
          <t>Begroting per maand</t>
        </is>
      </c>
      <c r="B6" s="15" t="n">
        <v>1500</v>
      </c>
      <c r="C6" t="inlineStr">
        <is>
          <t>Rand. Verander soos SGB goedkeur.</t>
        </is>
      </c>
    </row>
    <row r="7">
      <c r="A7" t="inlineStr">
        <is>
          <t>Teiken grade</t>
        </is>
      </c>
      <c r="B7" s="15" t="inlineStr">
        <is>
          <t>Graad 8 en 9</t>
        </is>
      </c>
      <c r="C7" t="inlineStr">
        <is>
          <t>Soft launch groep.</t>
        </is>
      </c>
    </row>
    <row r="8">
      <c r="A8" t="inlineStr">
        <is>
          <t>Subdomain</t>
        </is>
      </c>
      <c r="B8" t="inlineStr">
        <is>
          <t>akademie.skooldomain.co.za</t>
        </is>
      </c>
      <c r="C8" t="inlineStr">
        <is>
          <t>Vervang met die skool se regte subdomain.</t>
        </is>
      </c>
    </row>
    <row r="11">
      <c r="A11" s="16" t="inlineStr">
        <is>
          <t>Status Keuses</t>
        </is>
      </c>
      <c r="C11" s="16" t="inlineStr">
        <is>
          <t>Prioriteit Keuses</t>
        </is>
      </c>
      <c r="E11" s="16" t="inlineStr">
        <is>
          <t>Eienaars</t>
        </is>
      </c>
    </row>
    <row r="12">
      <c r="A12" t="inlineStr">
        <is>
          <t>Nie begin</t>
        </is>
      </c>
      <c r="C12" t="inlineStr">
        <is>
          <t>Hoog</t>
        </is>
      </c>
      <c r="E12" t="inlineStr">
        <is>
          <t>Projekleier</t>
        </is>
      </c>
    </row>
    <row r="13">
      <c r="A13" t="inlineStr">
        <is>
          <t>Besig</t>
        </is>
      </c>
      <c r="C13" t="inlineStr">
        <is>
          <t>Medium</t>
        </is>
      </c>
      <c r="E13" t="inlineStr">
        <is>
          <t>Skool IT</t>
        </is>
      </c>
    </row>
    <row r="14">
      <c r="A14" t="inlineStr">
        <is>
          <t>Wag op iemand</t>
        </is>
      </c>
      <c r="C14" t="inlineStr">
        <is>
          <t>Laag</t>
        </is>
      </c>
      <c r="E14" t="inlineStr">
        <is>
          <t>Onderwyser</t>
        </is>
      </c>
    </row>
    <row r="15">
      <c r="A15" t="inlineStr">
        <is>
          <t>Voltooi</t>
        </is>
      </c>
      <c r="E15" t="inlineStr">
        <is>
          <t>SGB</t>
        </is>
      </c>
    </row>
    <row r="16">
      <c r="A16" t="inlineStr">
        <is>
          <t>Risiko</t>
        </is>
      </c>
      <c r="E16" t="inlineStr">
        <is>
          <t>Marketing</t>
        </is>
      </c>
    </row>
    <row r="17">
      <c r="E17" t="inlineStr">
        <is>
          <t>Borg</t>
        </is>
      </c>
    </row>
    <row r="18">
      <c r="E18" t="inlineStr">
        <is>
          <t>Azure Admin</t>
        </is>
      </c>
    </row>
    <row r="20">
      <c r="A20" s="16" t="inlineStr">
        <is>
          <t>Gebruik</t>
        </is>
      </c>
    </row>
    <row r="21">
      <c r="A21" s="17" t="inlineStr">
        <is>
          <t>Verander net die waardes in geel selle. Die dashboard, taakstatus en tydlyn werk dan outomaties op.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2026-09-16T07:07:11Z</dcterms:created>
  <dcterms:modified xmlns:dcterms="http://purl.org/dc/terms/" xmlns:xsi="http://www.w3.org/2001/XMLSchema-instance" xsi:type="dcterms:W3CDTF">2026-09-16T07:07:11Z</dcterms:modified>
</cp:coreProperties>
</file>